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확률변수_기대값" sheetId="1" r:id="rId4"/>
    <sheet state="visible" name="적합성검정" sheetId="2" r:id="rId5"/>
    <sheet state="visible" name="은행문제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<sst xmlns="http://schemas.openxmlformats.org/spreadsheetml/2006/main" count="89" uniqueCount="69">
  <si>
    <t>(문제1)</t>
  </si>
  <si>
    <t>동전을 3개 던져 앞이 나오는 개수를 확률변수 X라 하자.</t>
  </si>
  <si>
    <t>확률변수 X의 확률분포함수, 기대값과 분산을 구하시오.</t>
  </si>
  <si>
    <t>X</t>
  </si>
  <si>
    <t>P(x)</t>
  </si>
  <si>
    <t>X*P(x)</t>
  </si>
  <si>
    <t>평균</t>
  </si>
  <si>
    <t>(X-E(X))^2*P(x)</t>
  </si>
  <si>
    <t>분산</t>
  </si>
  <si>
    <t>표준편차</t>
  </si>
  <si>
    <t>실습1</t>
  </si>
  <si>
    <t>사면체 주사위 2개 던져서 나오는 눈금의 합을 확률변수 X라 하자.</t>
  </si>
  <si>
    <t>SUM</t>
  </si>
  <si>
    <t>A도시의 성비는 동일한가?</t>
  </si>
  <si>
    <t>자녀가 3인인 1,000 가구 남자 아이 조사한 자료이다.</t>
  </si>
  <si>
    <t>남자아이 수</t>
  </si>
  <si>
    <t>가구수</t>
  </si>
  <si>
    <t>(문제2)</t>
  </si>
  <si>
    <t>D 지역 1일 교통사고 건수는 다음과 같다</t>
  </si>
  <si>
    <t>교통사고 건수는 포아송분포를 따르는가?</t>
  </si>
  <si>
    <t>건수</t>
  </si>
  <si>
    <t>요일수</t>
  </si>
  <si>
    <t>변수종류</t>
  </si>
  <si>
    <t>이산형</t>
  </si>
  <si>
    <t>연속형</t>
  </si>
  <si>
    <t xml:space="preserve">연속형 </t>
  </si>
  <si>
    <t>Gender</t>
  </si>
  <si>
    <t>기업형태</t>
  </si>
  <si>
    <t>여성CEO 주장</t>
  </si>
  <si>
    <t>B_type</t>
  </si>
  <si>
    <t>Sales</t>
  </si>
  <si>
    <t>Age</t>
  </si>
  <si>
    <t>Interest</t>
  </si>
  <si>
    <t>여자</t>
  </si>
  <si>
    <t>개인</t>
  </si>
  <si>
    <t>1) 승인율 측면 차별한다</t>
  </si>
  <si>
    <t>연구문제</t>
  </si>
  <si>
    <t>남자</t>
  </si>
  <si>
    <t>파트너</t>
  </si>
  <si>
    <t>2) 남성에 비해 여성 대출 이자율이 높다</t>
  </si>
  <si>
    <t>여자 승인율이 남자승인율 보다 낮다.</t>
  </si>
  <si>
    <t>귀무가설</t>
  </si>
  <si>
    <t>여자 승인율-남자 승인율 = 0</t>
  </si>
  <si>
    <t>기업</t>
  </si>
  <si>
    <t>대립가설</t>
  </si>
  <si>
    <t>여자 승인율-남자 승인율 &lt; 0</t>
  </si>
  <si>
    <t>은행 주장</t>
  </si>
  <si>
    <t>1) 매출액, 기업연수 등이 결정한다.</t>
  </si>
  <si>
    <t>추정치(MVUE)</t>
  </si>
  <si>
    <t>A 은행에 대출 신청한 CEO중 1165명(남성 1050, 여성 115명) 확률추출 하여 대출여부와 승인 받은 경우 대출 이자율, 매출액, 기업설립 연수를 조사하였다.</t>
  </si>
  <si>
    <t>여성평균대출이자율 - 남성평균대출이자율 = 0</t>
  </si>
  <si>
    <t>여성평균대출이자율 - 남성평균대출이자율 &gt; 0</t>
  </si>
  <si>
    <t>X =성별</t>
  </si>
  <si>
    <t>P(X)</t>
  </si>
  <si>
    <t>검정통계량</t>
  </si>
  <si>
    <t>최솟값</t>
  </si>
  <si>
    <t>최댓값</t>
  </si>
  <si>
    <t>유의확률</t>
  </si>
  <si>
    <t>X=이자율</t>
  </si>
  <si>
    <t>최소값</t>
  </si>
  <si>
    <t>최대값</t>
  </si>
  <si>
    <t>표본평균이자율</t>
  </si>
  <si>
    <t>표본분산이자율</t>
  </si>
  <si>
    <t>이자율표본평균</t>
  </si>
  <si>
    <t>총계</t>
  </si>
  <si>
    <t>Interest의 COUNTA</t>
  </si>
  <si>
    <t>전체승인률</t>
  </si>
  <si>
    <t>여자승인률</t>
  </si>
  <si>
    <t>남자승인률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</si>
</sst>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#,##0.000"/>
    <numFmt numFmtId="166" formatCode="0.0"/>
    <numFmt numFmtId="167" formatCode="0.00000"/>
  </numFmts>
  <fonts count="7">
    <font>
      <sz val="11.0"/>
      <color theme="1"/>
      <name val="Calibri"/>
      <scheme val="minor"/>
    </font>
    <font>
      <sz val="14.0"/>
      <color theme="1"/>
      <name val="Nanum Gothic"/>
    </font>
    <font>
      <color theme="1"/>
      <name val="Calibri"/>
      <scheme val="minor"/>
    </font>
    <font>
      <sz val="11.0"/>
      <color rgb="FF11A9CC"/>
      <name val="Inconsolata"/>
    </font>
    <font>
      <sz val="14.0"/>
      <color theme="1"/>
      <name val="Malgun Gothic"/>
    </font>
    <font>
      <sz val="14.0"/>
      <color rgb="FF000000"/>
      <name val="&quot;Malgun Gothic&quot;"/>
    </font>
    <font>
      <sz val="11.0"/>
      <color rgb="FF000000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Fill="1" applyFont="1"/>
    <xf borderId="1" fillId="0" fontId="1" numFmtId="2" xfId="0" applyBorder="1" applyFont="1" applyNumberFormat="1"/>
    <xf borderId="1" fillId="0" fontId="1" numFmtId="0" xfId="0" applyAlignment="1" applyBorder="1" applyFont="1">
      <alignment horizontal="center" readingOrder="0"/>
    </xf>
    <xf borderId="1" fillId="0" fontId="1" numFmtId="164" xfId="0" applyBorder="1" applyFont="1" applyNumberFormat="1"/>
    <xf borderId="1" fillId="0" fontId="1" numFmtId="165" xfId="0" applyAlignment="1" applyBorder="1" applyFont="1" applyNumberFormat="1">
      <alignment readingOrder="0"/>
    </xf>
    <xf borderId="1" fillId="0" fontId="1" numFmtId="166" xfId="0" applyBorder="1" applyFont="1" applyNumberForma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4" numFmtId="10" xfId="0" applyFont="1" applyNumberFormat="1"/>
    <xf borderId="1" fillId="0" fontId="4" numFmtId="0" xfId="0" applyAlignment="1" applyBorder="1" applyFont="1">
      <alignment readingOrder="0"/>
    </xf>
    <xf borderId="0" fillId="0" fontId="4" numFmtId="164" xfId="0" applyFont="1" applyNumberFormat="1"/>
    <xf borderId="1" fillId="0" fontId="4" numFmtId="0" xfId="0" applyBorder="1" applyFont="1"/>
    <xf borderId="1" fillId="2" fontId="6" numFmtId="0" xfId="0" applyBorder="1" applyFont="1"/>
    <xf borderId="1" fillId="2" fontId="6" numFmtId="166" xfId="0" applyBorder="1" applyFont="1" applyNumberFormat="1"/>
    <xf borderId="1" fillId="0" fontId="4" numFmtId="167" xfId="0" applyBorder="1" applyFont="1" applyNumberFormat="1"/>
    <xf borderId="0" fillId="0" fontId="2" numFmtId="0" xfId="0" applyFont="1"/>
    <xf borderId="0" fillId="0" fontId="4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2:F1055" sheet="은행문제"/>
  </cacheSource>
  <cacheFields>
    <cacheField name="Gender" numFmtId="0">
      <sharedItems containsSemiMixedTypes="0" containsString="0" containsNumber="1" containsInteger="1">
        <n v="1.0"/>
        <n v="2.0"/>
      </sharedItems>
    </cacheField>
    <cacheField name="B_type" numFmtId="0">
      <sharedItems containsSemiMixedTypes="0" containsString="0" containsNumber="1" containsInteger="1">
        <n v="1.0"/>
        <n v="2.0"/>
        <n v="3.0"/>
      </sharedItems>
    </cacheField>
    <cacheField name="Sales" numFmtId="0">
      <sharedItems containsSemiMixedTypes="0" containsString="0" containsNumber="1" containsInteger="1">
        <n v="473.0"/>
        <n v="515.0"/>
        <n v="772.0"/>
        <n v="306.0"/>
        <n v="242.0"/>
        <n v="490.0"/>
        <n v="288.0"/>
        <n v="281.0"/>
        <n v="881.0"/>
        <n v="553.0"/>
        <n v="798.0"/>
        <n v="596.0"/>
        <n v="653.0"/>
        <n v="165.0"/>
        <n v="339.0"/>
        <n v="476.0"/>
        <n v="287.0"/>
        <n v="923.0"/>
        <n v="466.0"/>
        <n v="763.0"/>
        <n v="340.0"/>
        <n v="501.0"/>
        <n v="504.0"/>
        <n v="677.0"/>
        <n v="383.0"/>
        <n v="202.0"/>
        <n v="81.0"/>
        <n v="508.0"/>
        <n v="530.0"/>
        <n v="725.0"/>
        <n v="665.0"/>
        <n v="729.0"/>
        <n v="74.0"/>
        <n v="414.0"/>
        <n v="903.0"/>
        <n v="439.0"/>
        <n v="756.0"/>
        <n v="691.0"/>
        <n v="582.0"/>
        <n v="796.0"/>
        <n v="746.0"/>
        <n v="230.0"/>
        <n v="350.0"/>
        <n v="463.0"/>
        <n v="472.0"/>
        <n v="562.0"/>
        <n v="740.0"/>
        <n v="637.0"/>
        <n v="523.0"/>
        <n v="393.0"/>
        <n v="1007.0"/>
        <n v="433.0"/>
        <n v="1440.0"/>
        <n v="773.0"/>
        <n v="694.0"/>
        <n v="498.0"/>
        <n v="700.0"/>
        <n v="1134.0"/>
        <n v="191.0"/>
        <n v="329.0"/>
        <n v="1020.0"/>
        <n v="831.0"/>
        <n v="92.0"/>
        <n v="743.0"/>
        <n v="597.0"/>
        <n v="347.0"/>
        <n v="484.0"/>
        <n v="365.0"/>
        <n v="933.0"/>
        <n v="660.0"/>
        <n v="852.0"/>
        <n v="225.0"/>
        <n v="451.0"/>
        <n v="828.0"/>
        <n v="708.0"/>
        <n v="733.0"/>
        <n v="291.0"/>
        <n v="377.0"/>
        <n v="385.0"/>
        <n v="764.0"/>
        <n v="380.0"/>
        <n v="231.0"/>
        <n v="441.0"/>
        <n v="703.0"/>
        <n v="801.0"/>
        <n v="616.0"/>
        <n v="732.0"/>
        <n v="1087.0"/>
        <n v="538.0"/>
        <n v="367.0"/>
        <n v="628.0"/>
        <n v="489.0"/>
        <n v="345.0"/>
        <n v="588.0"/>
        <n v="361.0"/>
        <n v="547.0"/>
        <n v="877.0"/>
        <n v="1213.0"/>
        <n v="926.0"/>
        <n v="1596.0"/>
        <n v="1561.0"/>
        <n v="1226.0"/>
        <n v="1330.0"/>
        <n v="1180.0"/>
        <n v="1707.0"/>
        <n v="947.0"/>
        <n v="667.0"/>
        <n v="891.0"/>
        <n v="401.0"/>
        <n v="1230.0"/>
        <n v="1181.0"/>
        <n v="1291.0"/>
        <n v="374.0"/>
        <n v="981.0"/>
        <n v="702.0"/>
        <n v="1326.0"/>
        <n v="1642.0"/>
        <n v="657.0"/>
        <n v="1199.0"/>
        <n v="1186.0"/>
        <n v="1097.0"/>
        <n v="537.0"/>
        <n v="1287.0"/>
        <n v="1175.0"/>
        <n v="1090.0"/>
        <n v="1946.0"/>
        <n v="1272.0"/>
        <n v="572.0"/>
        <n v="1434.0"/>
        <n v="132.0"/>
        <n v="1158.0"/>
        <n v="1117.0"/>
        <n v="1780.0"/>
        <n v="817.0"/>
        <n v="1379.0"/>
        <n v="886.0"/>
        <n v="1307.0"/>
        <n v="554.0"/>
        <n v="1698.0"/>
        <n v="1319.0"/>
        <n v="535.0"/>
        <n v="1430.0"/>
        <n v="656.0"/>
        <n v="1121.0"/>
        <n v="721.0"/>
        <n v="1086.0"/>
        <n v="2154.0"/>
        <n v="1182.0"/>
        <n v="1136.0"/>
        <n v="1209.0"/>
        <n v="1824.0"/>
        <n v="861.0"/>
        <n v="1325.0"/>
        <n v="1228.0"/>
        <n v="1265.0"/>
        <n v="895.0"/>
        <n v="1618.0"/>
        <n v="1288.0"/>
        <n v="1273.0"/>
        <n v="1074.0"/>
        <n v="1295.0"/>
        <n v="1393.0"/>
        <n v="1092.0"/>
        <n v="991.0"/>
        <n v="973.0"/>
        <n v="1113.0"/>
        <n v="2021.0"/>
        <n v="1156.0"/>
        <n v="1200.0"/>
        <n v="1048.0"/>
        <n v="1025.0"/>
        <n v="934.0"/>
        <n v="1232.0"/>
        <n v="1239.0"/>
        <n v="1853.0"/>
        <n v="1485.0"/>
        <n v="1137.0"/>
        <n v="954.0"/>
        <n v="1435.0"/>
        <n v="1438.0"/>
        <n v="1317.0"/>
        <n v="924.0"/>
        <n v="567.0"/>
        <n v="1061.0"/>
        <n v="300.0"/>
        <n v="980.0"/>
        <n v="853.0"/>
        <n v="1240.0"/>
        <n v="909.0"/>
        <n v="1183.0"/>
        <n v="1316.0"/>
        <n v="808.0"/>
        <n v="1530.0"/>
        <n v="1052.0"/>
        <n v="979.0"/>
        <n v="984.0"/>
        <n v="1194.0"/>
        <n v="726.0"/>
        <n v="1047.0"/>
        <n v="559.0"/>
        <n v="754.0"/>
        <n v="1695.0"/>
        <n v="1072.0"/>
        <n v="602.0"/>
        <n v="1026.0"/>
        <n v="1549.0"/>
        <n v="1446.0"/>
        <n v="1040.0"/>
        <n v="709.0"/>
        <n v="1674.0"/>
        <n v="1108.0"/>
        <n v="1558.0"/>
        <n v="1473.0"/>
        <n v="894.0"/>
        <n v="565.0"/>
        <n v="2094.0"/>
        <n v="1102.0"/>
        <n v="872.0"/>
        <n v="1624.0"/>
        <n v="1109.0"/>
        <n v="1165.0"/>
        <n v="1360.0"/>
        <n v="1115.0"/>
        <n v="1245.0"/>
        <n v="927.0"/>
        <n v="897.0"/>
        <n v="1302.0"/>
        <n v="1251.0"/>
        <n v="1110.0"/>
        <n v="1768.0"/>
        <n v="1101.0"/>
        <n v="1178.0"/>
        <n v="982.0"/>
        <n v="1464.0"/>
        <n v="1187.0"/>
        <n v="978.0"/>
        <n v="479.0"/>
        <n v="1023.0"/>
        <n v="1525.0"/>
        <n v="1320.0"/>
        <n v="1789.0"/>
        <n v="1472.0"/>
        <n v="930.0"/>
        <n v="1576.0"/>
        <n v="1375.0"/>
        <n v="1293.0"/>
        <n v="1216.0"/>
        <n v="1022.0"/>
        <n v="948.0"/>
        <n v="696.0"/>
        <n v="1499.0"/>
        <n v="810.0"/>
        <n v="841.0"/>
        <n v="1602.0"/>
        <n v="1064.0"/>
        <n v="1119.0"/>
        <n v="1383.0"/>
        <n v="994.0"/>
        <n v="1812.0"/>
        <n v="715.0"/>
        <n v="1341.0"/>
        <n v="1665.0"/>
        <n v="1494.0"/>
        <n v="1014.0"/>
        <n v="1169.0"/>
        <n v="1198.0"/>
        <n v="1731.0"/>
        <n v="662.0"/>
        <n v="1104.0"/>
        <n v="1203.0"/>
        <n v="901.0"/>
        <n v="1315.0"/>
        <n v="1755.0"/>
        <n v="1277.0"/>
        <n v="1132.0"/>
        <n v="1678.0"/>
        <n v="1210.0"/>
        <n v="688.0"/>
        <n v="635.0"/>
        <n v="945.0"/>
        <n v="818.0"/>
        <n v="1555.0"/>
        <n v="379.0"/>
        <n v="1229.0"/>
        <n v="1381.0"/>
        <n v="514.0"/>
        <n v="1256.0"/>
        <n v="1631.0"/>
        <n v="1094.0"/>
        <n v="1412.0"/>
        <n v="1041.0"/>
        <n v="1077.0"/>
        <n v="1355.0"/>
        <n v="1452.0"/>
        <n v="1204.0"/>
        <n v="1615.0"/>
        <n v="970.0"/>
        <n v="619.0"/>
        <n v="848.0"/>
        <n v="1255.0"/>
        <n v="1532.0"/>
        <n v="873.0"/>
        <n v="870.0"/>
        <n v="2016.0"/>
        <n v="1385.0"/>
        <n v="1292.0"/>
        <n v="920.0"/>
        <n v="1685.0"/>
        <n v="419.0"/>
        <n v="1477.0"/>
        <n v="879.0"/>
        <n v="1146.0"/>
        <n v="950.0"/>
        <n v="584.0"/>
        <n v="1514.0"/>
        <n v="1686.0"/>
        <n v="832.0"/>
        <n v="1859.0"/>
        <n v="856.0"/>
        <n v="865.0"/>
        <n v="1081.0"/>
        <n v="846.0"/>
        <n v="1045.0"/>
        <n v="1088.0"/>
        <n v="1394.0"/>
        <n v="1128.0"/>
        <n v="1945.0"/>
        <n v="1343.0"/>
        <n v="1304.0"/>
        <n v="1171.0"/>
        <n v="448.0"/>
        <n v="962.0"/>
        <n v="960.0"/>
        <n v="1621.0"/>
        <n v="1290.0"/>
        <n v="1279.0"/>
        <n v="1227.0"/>
        <n v="929.0"/>
        <n v="902.0"/>
        <n v="1466.0"/>
        <n v="1259.0"/>
        <n v="824.0"/>
        <n v="1205.0"/>
        <n v="1397.0"/>
        <n v="1396.0"/>
        <n v="1105.0"/>
        <n v="1577.0"/>
        <n v="1407.0"/>
        <n v="1760.0"/>
        <n v="1249.0"/>
        <n v="1019.0"/>
        <n v="805.0"/>
        <n v="510.0"/>
        <n v="823.0"/>
        <n v="1783.0"/>
        <n v="556.0"/>
        <n v="1474.0"/>
        <n v="1619.0"/>
        <n v="1802.0"/>
        <n v="1214.0"/>
        <n v="1371.0"/>
        <n v="1818.0"/>
        <n v="1311.0"/>
        <n v="1825.0"/>
        <n v="1299.0"/>
        <n v="814.0"/>
        <n v="1031.0"/>
        <n v="1044.0"/>
        <n v="1564.0"/>
        <n v="788.0"/>
        <n v="1476.0"/>
        <n v="1387.0"/>
        <n v="1332.0"/>
        <n v="1241.0"/>
        <n v="918.0"/>
        <n v="1373.0"/>
        <n v="1243.0"/>
        <n v="1552.0"/>
        <n v="1415.0"/>
        <n v="1346.0"/>
        <n v="1018.0"/>
        <n v="1009.0"/>
        <n v="1654.0"/>
        <n v="1324.0"/>
        <n v="809.0"/>
        <n v="1457.0"/>
        <n v="986.0"/>
        <n v="680.0"/>
        <n v="1242.0"/>
        <n v="1294.0"/>
        <n v="958.0"/>
        <n v="1704.0"/>
        <n v="1028.0"/>
        <n v="1127.0"/>
        <n v="427.0"/>
        <n v="1058.0"/>
        <n v="1070.0"/>
        <n v="1354.0"/>
        <n v="1050.0"/>
        <n v="1095.0"/>
        <n v="1142.0"/>
        <n v="1060.0"/>
        <n v="1261.0"/>
        <n v="961.0"/>
        <n v="1682.0"/>
        <n v="470.0"/>
        <n v="497.0"/>
        <n v="593.0"/>
        <n v="1035.0"/>
        <n v="1369.0"/>
        <n v="1374.0"/>
        <n v="890.0"/>
        <n v="2212.0"/>
        <n v="1680.0"/>
        <n v="1814.0"/>
        <n v="1164.0"/>
        <n v="1559.0"/>
        <n v="1296.0"/>
        <n v="1177.0"/>
        <n v="1032.0"/>
        <n v="1030.0"/>
        <n v="1257.0"/>
        <n v="357.0"/>
        <n v="1206.0"/>
        <n v="1756.0"/>
        <n v="1262.0"/>
        <n v="1941.0"/>
        <n v="731.0"/>
        <n v="1502.0"/>
        <n v="745.0"/>
        <n v="724.0"/>
        <n v="916.0"/>
        <n v="769.0"/>
        <n v="1124.0"/>
        <n v="1488.0"/>
        <n v="791.0"/>
        <n v="606.0"/>
        <n v="1709.0"/>
        <n v="718.0"/>
        <n v="989.0"/>
        <n v="1426.0"/>
        <n v="2023.0"/>
        <n v="1601.0"/>
        <n v="1143.0"/>
        <n v="1927.0"/>
        <n v="1745.0"/>
        <n v="836.0"/>
        <n v="1079.0"/>
        <n v="951.0"/>
        <n v="1803.0"/>
        <n v="1583.0"/>
        <n v="1062.0"/>
        <n v="1677.0"/>
        <n v="1443.0"/>
        <n v="1392.0"/>
        <n v="1215.0"/>
        <n v="1491.0"/>
        <n v="1837.0"/>
        <n v="1370.0"/>
        <n v="800.0"/>
        <n v="1645.0"/>
        <n v="1537.0"/>
        <n v="1380.0"/>
        <n v="822.0"/>
        <n v="1540.0"/>
        <n v="1644.0"/>
        <n v="1729.0"/>
        <n v="1033.0"/>
        <n v="1322.0"/>
        <n v="944.0"/>
        <n v="548.0"/>
        <n v="845.0"/>
        <n v="1376.0"/>
        <n v="1116.0"/>
        <n v="1689.0"/>
        <n v="816.0"/>
        <n v="1503.0"/>
        <n v="1349.0"/>
        <n v="775.0"/>
        <n v="1155.0"/>
        <n v="1342.0"/>
        <n v="794.0"/>
        <n v="405.0"/>
        <n v="904.0"/>
        <n v="1253.0"/>
        <n v="1627.0"/>
        <n v="1004.0"/>
        <n v="1002.0"/>
        <n v="1066.0"/>
        <n v="600.0"/>
        <n v="1409.0"/>
        <n v="1017.0"/>
        <n v="1191.0"/>
        <n v="1538.0"/>
        <n v="594.0"/>
        <n v="1212.0"/>
        <n v="435.0"/>
        <n v="2025.0"/>
        <n v="1584.0"/>
        <n v="1634.0"/>
        <n v="1424.0"/>
        <n v="827.0"/>
        <n v="1401.0"/>
        <n v="633.0"/>
        <n v="1247.0"/>
        <n v="1029.0"/>
        <n v="1353.0"/>
        <n v="681.0"/>
        <n v="1761.0"/>
        <n v="1135.0"/>
        <n v="1523.0"/>
        <n v="482.0"/>
        <n v="862.0"/>
        <n v="905.0"/>
        <n v="1572.0"/>
        <n v="1263.0"/>
        <n v="1284.0"/>
        <n v="1003.0"/>
        <n v="1957.0"/>
        <n v="1610.0"/>
        <n v="1036.0"/>
        <n v="1851.0"/>
        <n v="698.0"/>
        <n v="967.0"/>
        <n v="1037.0"/>
        <n v="1390.0"/>
        <n v="1106.0"/>
        <n v="1661.0"/>
        <n v="1690.0"/>
        <n v="1912.0"/>
        <n v="1034.0"/>
        <n v="1899.0"/>
        <n v="880.0"/>
        <n v="613.0"/>
        <n v="1139.0"/>
        <n v="1270.0"/>
        <n v="1365.0"/>
        <n v="1118.0"/>
        <n v="1517.0"/>
        <n v="1647.0"/>
        <n v="1340.0"/>
        <n v="1653.0"/>
        <n v="1067.0"/>
        <n v="1612.0"/>
        <n v="1236.0"/>
        <n v="1456.0"/>
        <n v="2018.0"/>
        <n v="992.0"/>
        <n v="1145.0"/>
        <n v="1940.0"/>
        <n v="1012.0"/>
        <n v="684.0"/>
        <n v="738.0"/>
        <n v="1254.0"/>
        <n v="1042.0"/>
        <n v="1432.0"/>
        <n v="1406.0"/>
        <n v="1130.0"/>
        <n v="834.0"/>
        <n v="1207.0"/>
        <n v="972.0"/>
        <n v="1168.0"/>
        <n v="1260.0"/>
        <n v="1377.0"/>
        <n v="1334.0"/>
        <n v="1162.0"/>
        <n v="411.0"/>
        <n v="778.0"/>
        <n v="1420.0"/>
        <n v="307.0"/>
        <n v="790.0"/>
        <n v="682.0"/>
        <n v="1518.0"/>
        <n v="1100.0"/>
        <n v="1983.0"/>
        <n v="1305.0"/>
        <n v="1184.0"/>
        <n v="388.0"/>
        <n v="1280.0"/>
        <n v="1684.0"/>
        <n v="1318.0"/>
        <n v="1475.0"/>
        <n v="779.0"/>
        <n v="569.0"/>
        <n v="1356.0"/>
        <n v="1582.0"/>
        <n v="1161.0"/>
        <n v="2039.0"/>
        <n v="1458.0"/>
        <n v="474.0"/>
        <n v="1578.0"/>
        <n v="837.0"/>
        <n v="1021.0"/>
        <n v="761.0"/>
        <n v="1237.0"/>
        <n v="912.0"/>
        <n v="990.0"/>
        <n v="1586.0"/>
        <n v="717.0"/>
        <n v="1462.0"/>
        <n v="868.0"/>
        <n v="1568.0"/>
        <n v="820.0"/>
        <n v="1378.0"/>
        <n v="1276.0"/>
        <n v="1497.0"/>
        <n v="1536.0"/>
        <n v="921.0"/>
        <n v="1188.0"/>
        <n v="634.0"/>
        <n v="911.0"/>
        <n v="1882.0"/>
        <n v="704.0"/>
        <n v="1049.0"/>
        <n v="1734.0"/>
        <n v="1144.0"/>
        <n v="780.0"/>
        <n v="1909.0"/>
        <n v="1471.0"/>
        <n v="1196.0"/>
        <n v="1510.0"/>
        <n v="1521.0"/>
        <n v="1043.0"/>
        <n v="999.0"/>
        <n v="630.0"/>
        <n v="1995.0"/>
        <n v="620.0"/>
        <n v="1522.0"/>
        <n v="1283.0"/>
        <n v="1054.0"/>
        <n v="771.0"/>
        <n v="2214.0"/>
        <n v="1068.0"/>
        <n v="610.0"/>
        <n v="585.0"/>
        <n v="1643.0"/>
        <n v="88.0"/>
        <n v="1717.0"/>
        <n v="1453.0"/>
        <n v="1335.0"/>
        <n v="1433.0"/>
        <n v="1005.0"/>
        <n v="1460.0"/>
        <n v="1138.0"/>
        <n v="1348.0"/>
        <n v="1782.0"/>
        <n v="1220.0"/>
        <n v="1327.0"/>
        <n v="1493.0"/>
        <n v="1498.0"/>
        <n v="1738.0"/>
        <n v="1663.0"/>
        <n v="882.0"/>
        <n v="723.0"/>
        <n v="1423.0"/>
        <n v="578.0"/>
        <n v="917.0"/>
        <n v="1218.0"/>
        <n v="1193.0"/>
        <n v="1082.0"/>
        <n v="1519.0"/>
        <n v="344.0"/>
        <n v="1589.0"/>
        <n v="1075.0"/>
        <n v="335.0"/>
        <n v="1483.0"/>
        <n v="595.0"/>
        <n v="1027.0"/>
        <n v="689.0"/>
        <n v="1579.0"/>
        <n v="283.0"/>
        <n v="1001.0"/>
        <n v="774.0"/>
        <n v="785.0"/>
        <n v="864.0"/>
        <n v="1149.0"/>
        <n v="1482.0"/>
        <n v="1608.0"/>
        <n v="1336.0"/>
        <n v="1831.0"/>
        <n v="1737.0"/>
        <n v="1357.0"/>
        <n v="1570.0"/>
        <n v="1275.0"/>
        <n v="1246.0"/>
        <n v="786.0"/>
        <n v="1174.0"/>
        <n v="1793.0"/>
        <n v="1720.0"/>
        <n v="581.0"/>
        <n v="888.0"/>
        <n v="1303.0"/>
        <n v="835.0"/>
        <n v="1597.0"/>
        <n v="789.0"/>
        <n v="1917.0"/>
        <n v="1662.0"/>
        <n v="2188.0"/>
        <n v="1735.0"/>
        <n v="1195.0"/>
        <n v="1681.0"/>
        <n v="1876.0"/>
        <n v="1163.0"/>
        <n v="649.0"/>
        <n v="1219.0"/>
        <n v="1398.0"/>
        <n v="919.0"/>
        <n v="1844.0"/>
        <n v="1098.0"/>
        <n v="486.0"/>
        <n v="1189.0"/>
        <n v="1507.0"/>
        <n v="938.0"/>
        <n v="1076.0"/>
        <n v="1309.0"/>
        <n v="1463.0"/>
        <n v="1298.0"/>
        <n v="1651.0"/>
        <n v="1567.0"/>
        <n v="1573.0"/>
        <n v="671.0"/>
        <n v="1286.0"/>
        <n v="1600.0"/>
        <n v="257.0"/>
        <n v="1732.0"/>
        <n v="1154.0"/>
        <n v="1364.0"/>
        <n v="589.0"/>
        <n v="1366.0"/>
        <n v="1016.0"/>
        <n v="1266.0"/>
        <n v="1852.0"/>
        <n v="1562.0"/>
        <n v="2272.0"/>
        <n v="1091.0"/>
        <n v="1351.0"/>
        <n v="969.0"/>
        <n v="1414.0"/>
        <n v="1524.0"/>
        <n v="1638.0"/>
        <n v="1093.0"/>
        <n v="1310.0"/>
        <n v="1606.0"/>
        <n v="1710.0"/>
      </sharedItems>
    </cacheField>
    <cacheField name="Age" numFmtId="0">
      <sharedItems containsSemiMixedTypes="0" containsString="0" containsNumber="1" containsInteger="1">
        <n v="12.0"/>
        <n v="9.0"/>
        <n v="11.0"/>
        <n v="7.0"/>
        <n v="8.0"/>
        <n v="1.0"/>
        <n v="10.0"/>
        <n v="14.0"/>
        <n v="4.0"/>
        <n v="15.0"/>
        <n v="6.0"/>
        <n v="13.0"/>
        <n v="3.0"/>
        <n v="2.0"/>
        <n v="5.0"/>
        <n v="16.0"/>
        <n v="17.0"/>
        <n v="20.0"/>
        <n v="19.0"/>
        <n v="18.0"/>
        <n v="23.0"/>
        <n v="25.0"/>
        <n v="24.0"/>
        <n v="22.0"/>
        <n v="21.0"/>
        <n v="27.0"/>
        <n v="26.0"/>
      </sharedItems>
    </cacheField>
    <cacheField name="Interest" numFmtId="0">
      <sharedItems containsSemiMixedTypes="0" containsString="0" containsNumber="1">
        <n v="1.65"/>
        <n v="0.89"/>
        <n v="1.13"/>
        <n v="1.63"/>
        <n v="2.09"/>
        <n v="2.25"/>
        <n v="1.44"/>
        <n v="2.27"/>
        <n v="1.4"/>
        <n v="1.37"/>
        <n v="1.34"/>
        <n v="1.47"/>
        <n v="0.75"/>
        <n v="2.34"/>
        <n v="1.56"/>
        <n v="2.88"/>
        <n v="2.19"/>
        <n v="0.5"/>
        <n v="2.52"/>
        <n v="1.83"/>
        <n v="1.97"/>
        <n v="1.79"/>
        <n v="1.03"/>
        <n v="2.56"/>
        <n v="0.79"/>
        <n v="2.33"/>
        <n v="2.21"/>
        <n v="2.57"/>
        <n v="0.27"/>
        <n v="1.74"/>
        <n v="2.04"/>
        <n v="1.82"/>
        <n v="1.45"/>
        <n v="0.1"/>
        <n v="2.5"/>
        <n v="1.7"/>
        <n v="1.42"/>
        <n v="2.11"/>
        <n v="1.25"/>
        <n v="0.78"/>
        <n v="1.68"/>
        <n v="1.39"/>
        <n v="2.98"/>
        <n v="1.02"/>
        <n v="1.98"/>
        <n v="2.01"/>
        <n v="1.89"/>
        <n v="1.55"/>
        <n v="1.67"/>
        <n v="1.17"/>
        <n v="1.23"/>
        <n v="0.68"/>
        <n v="1.66"/>
        <n v="0.94"/>
        <n v="1.2"/>
        <n v="1.11"/>
        <n v="2.16"/>
        <n v="0.63"/>
        <n v="1.99"/>
        <n v="1.49"/>
        <n v="1.8"/>
        <n v="2.14"/>
        <n v="0.9"/>
        <n v="0.31"/>
        <n v="2.02"/>
        <n v="1.48"/>
        <n v="2.35"/>
        <n v="1.21"/>
        <n v="2.42"/>
        <n v="2.3"/>
        <n v="1.76"/>
        <n v="1.69"/>
        <n v="0.86"/>
        <n v="0.62"/>
        <n v="0.47"/>
        <n v="0.22"/>
        <n v="2.46"/>
        <n v="1.24"/>
        <n v="1.86"/>
        <n v="0.76"/>
        <n v="2.97"/>
        <n v="1.01"/>
        <n v="2.2"/>
        <n v="0.45"/>
        <n v="1.38"/>
        <n v="1.58"/>
        <n v="2.68"/>
        <n v="1.06"/>
        <n v="1.28"/>
        <n v="1.72"/>
        <n v="0.99"/>
        <n v="1.93"/>
        <n v="1.85"/>
        <n v="1.95"/>
        <n v="1.14"/>
        <n v="0.44"/>
        <n v="1.26"/>
        <n v="1.27"/>
        <n v="1.12"/>
        <n v="2.07"/>
        <n v="1.05"/>
        <n v="0.56"/>
        <n v="2.12"/>
        <n v="2.79"/>
        <n v="1.35"/>
        <n v="1.19"/>
        <n v="0.88"/>
        <n v="1.78"/>
        <n v="0.96"/>
        <n v="1.33"/>
        <n v="2.1"/>
        <n v="1.9"/>
        <n v="0.53"/>
        <n v="0.82"/>
        <n v="0.92"/>
        <n v="0.23"/>
        <n v="1.04"/>
        <n v="0.91"/>
        <n v="0.85"/>
        <n v="2.0"/>
        <n v="0.87"/>
        <n v="0.98"/>
        <n v="0.95"/>
        <n v="0.19"/>
        <n v="0.69"/>
        <n v="1.54"/>
        <n v="0.72"/>
        <n v="0.7"/>
        <n v="1.91"/>
        <n v="0.74"/>
        <n v="2.06"/>
        <n v="0.97"/>
        <n v="1.52"/>
        <n v="0.26"/>
        <n v="2.36"/>
        <n v="1.73"/>
        <n v="1.87"/>
        <n v="1.77"/>
        <n v="0.81"/>
        <n v="0.55"/>
        <n v="0.66"/>
        <n v="0.0"/>
        <n v="2.75"/>
        <n v="2.61"/>
        <n v="0.37"/>
        <n v="2.37"/>
        <n v="1.51"/>
        <n v="0.61"/>
        <n v="0.71"/>
        <n v="2.15"/>
        <n v="1.46"/>
        <n v="2.65"/>
        <n v="0.11"/>
        <n v="0.25"/>
        <n v="2.24"/>
        <n v="2.45"/>
        <n v="1.29"/>
        <n v="1.3"/>
        <n v="1.92"/>
        <n v="0.18"/>
        <n v="2.89"/>
        <n v="0.3"/>
        <n v="1.5"/>
        <n v="0.33"/>
        <n v="1.64"/>
        <n v="0.39"/>
        <n v="1.15"/>
        <n v="1.57"/>
        <n v="1.81"/>
        <n v="0.67"/>
        <n v="2.05"/>
        <n v="0.8"/>
        <n v="1.08"/>
        <n v="1.41"/>
        <n v="2.41"/>
        <n v="0.46"/>
        <n v="1.43"/>
        <n v="0.2"/>
        <n v="0.01"/>
        <n v="1.53"/>
        <n v="2.03"/>
        <n v="1.09"/>
        <n v="2.58"/>
        <n v="0.09"/>
        <n v="0.41"/>
        <n v="1.32"/>
        <n v="0.64"/>
        <n v="1.62"/>
        <n v="1.71"/>
        <n v="0.52"/>
        <n v="1.16"/>
        <n v="2.39"/>
        <n v="2.23"/>
        <n v="1.0"/>
        <n v="0.93"/>
        <n v="2.32"/>
        <n v="0.17"/>
        <n v="1.6"/>
        <n v="0.36"/>
        <n v="0.15"/>
        <n v="0.77"/>
        <n v="1.31"/>
        <n v="2.74"/>
        <n v="0.58"/>
        <n v="0.05"/>
        <n v="0.32"/>
        <n v="1.18"/>
        <n v="2.47"/>
        <n v="1.36"/>
        <n v="2.53"/>
        <n v="3.29"/>
        <n v="0.57"/>
        <n v="0.21"/>
        <n v="0.54"/>
        <n v="1.84"/>
        <n v="0.59"/>
        <n v="2.69"/>
        <n v="2.17"/>
        <n v="0.83"/>
        <n v="2.08"/>
        <n v="0.43"/>
        <n v="1.88"/>
        <n v="2.29"/>
        <n v="2.13"/>
        <n v="0.4"/>
        <n v="1.07"/>
        <n v="2.77"/>
        <n v="1.75"/>
        <n v="2.62"/>
        <n v="2.31"/>
        <n v="0.48"/>
        <n v="0.6"/>
        <n v="2.99"/>
        <n v="2.95"/>
        <n v="1.59"/>
        <n v="0.42"/>
        <n v="2.26"/>
        <n v="0.51"/>
        <n v="0.03"/>
        <n v="0.49"/>
        <n v="2.85"/>
        <n v="1.22"/>
        <n v="2.55"/>
        <n v="0.84"/>
        <n v="3.08"/>
        <n v="0.04"/>
        <n v="2.86"/>
        <n v="0.35"/>
        <n v="0.28"/>
        <n v="0.38"/>
        <n v="2.84"/>
        <n v="2.8"/>
        <n v="0.34"/>
        <n v="2.44"/>
        <n v="0.13"/>
        <n v="2.43"/>
        <n v="1.61"/>
        <n v="2.64"/>
        <n v="0.24"/>
        <n v="2.22"/>
        <n v="0.29"/>
        <n v="0.14"/>
        <n v="2.18"/>
        <n v="1.94"/>
        <n v="0.73"/>
        <n v="0.0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은행문제" cacheId="0" dataCaption="" compact="0" compactData="0">
  <location ref="P39:S41" firstHeaderRow="0" firstDataRow="0" firstDataCol="1"/>
  <pivotFields>
    <pivotField name="Gender" axis="axisCol" compact="0" outline="0" multipleItemSelectionAllowed="1" showAll="0" sortType="ascending">
      <items>
        <item x="0"/>
        <item x="1"/>
        <item t="default"/>
      </items>
    </pivotField>
    <pivotField name="B_type" compact="0" outline="0" multipleItemSelectionAllowed="1" showAll="0">
      <items>
        <item x="0"/>
        <item x="1"/>
        <item x="2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Intere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</pivotFields>
  <colFields>
    <field x="0"/>
  </colFields>
  <dataFields>
    <dataField name="COUNTA of Interest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43"/>
    <col customWidth="1" min="3" max="26" width="10.7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 t="s">
        <v>3</v>
      </c>
      <c r="C4" s="2">
        <v>0.0</v>
      </c>
      <c r="D4" s="2">
        <v>1.0</v>
      </c>
      <c r="E4" s="2">
        <v>2.0</v>
      </c>
      <c r="F4" s="2">
        <v>3.0</v>
      </c>
      <c r="G4" s="2">
        <f>sum(C5:F5)</f>
        <v>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4</v>
      </c>
      <c r="C5" s="3">
        <f>1/8</f>
        <v>0.125</v>
      </c>
      <c r="D5" s="3">
        <f t="shared" ref="D5:E5" si="1">3/8</f>
        <v>0.375</v>
      </c>
      <c r="E5" s="3">
        <f t="shared" si="1"/>
        <v>0.375</v>
      </c>
      <c r="F5" s="3">
        <f>1/8</f>
        <v>0.125</v>
      </c>
      <c r="G5" s="4">
        <v>1.0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5</v>
      </c>
      <c r="C6" s="4">
        <v>0.0</v>
      </c>
      <c r="D6" s="4">
        <f t="shared" ref="D6:F6" si="2">D4*D5</f>
        <v>0.375</v>
      </c>
      <c r="E6" s="3">
        <f t="shared" si="2"/>
        <v>0.75</v>
      </c>
      <c r="F6" s="3">
        <f t="shared" si="2"/>
        <v>0.375</v>
      </c>
      <c r="G6" s="3">
        <f t="shared" ref="G6:G7" si="4">SUM(C6:F6)</f>
        <v>1.5</v>
      </c>
      <c r="H6" s="5" t="s">
        <v>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 t="s">
        <v>7</v>
      </c>
      <c r="C7" s="6">
        <f t="shared" ref="C7:F7" si="3">(C4-$G$6)^2*C5</f>
        <v>0.28125</v>
      </c>
      <c r="D7" s="7">
        <f t="shared" si="3"/>
        <v>0.09375</v>
      </c>
      <c r="E7" s="7">
        <f t="shared" si="3"/>
        <v>0.09375</v>
      </c>
      <c r="F7" s="7">
        <f t="shared" si="3"/>
        <v>0.28125</v>
      </c>
      <c r="G7" s="3">
        <f t="shared" si="4"/>
        <v>0.75</v>
      </c>
      <c r="H7" s="5" t="s">
        <v>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/>
      <c r="C8" s="3"/>
      <c r="D8" s="3"/>
      <c r="E8" s="3"/>
      <c r="F8" s="3"/>
      <c r="G8" s="8">
        <f>G7^0.5</f>
        <v>0.8660254038</v>
      </c>
      <c r="H8" s="5" t="s">
        <v>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 t="s">
        <v>10</v>
      </c>
      <c r="B10" s="5" t="s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B11" s="1" t="s">
        <v>2</v>
      </c>
      <c r="C11" s="1"/>
      <c r="D11" s="1"/>
      <c r="E11" s="1"/>
      <c r="F11" s="1"/>
      <c r="G11" s="1"/>
    </row>
    <row r="13">
      <c r="B13" s="2" t="s">
        <v>3</v>
      </c>
      <c r="C13" s="9">
        <v>2.0</v>
      </c>
      <c r="D13" s="9">
        <v>3.0</v>
      </c>
      <c r="E13" s="9">
        <v>4.0</v>
      </c>
      <c r="F13" s="9">
        <v>5.0</v>
      </c>
      <c r="G13" s="9">
        <v>6.0</v>
      </c>
      <c r="H13" s="9">
        <v>7.0</v>
      </c>
      <c r="I13" s="9">
        <v>8.0</v>
      </c>
      <c r="J13" s="9" t="s">
        <v>12</v>
      </c>
    </row>
    <row r="14">
      <c r="B14" s="3" t="s">
        <v>4</v>
      </c>
      <c r="C14" s="10">
        <f>0.5/8</f>
        <v>0.0625</v>
      </c>
      <c r="D14" s="3">
        <f>1/8</f>
        <v>0.125</v>
      </c>
      <c r="E14" s="3">
        <f>1.5/8</f>
        <v>0.1875</v>
      </c>
      <c r="F14" s="3">
        <f>2/8</f>
        <v>0.25</v>
      </c>
      <c r="G14" s="4">
        <f>1.5/8</f>
        <v>0.1875</v>
      </c>
      <c r="H14" s="4">
        <f>1/8</f>
        <v>0.125</v>
      </c>
      <c r="I14" s="10">
        <f>0.5/8</f>
        <v>0.0625</v>
      </c>
      <c r="J14" s="4">
        <v>1.0</v>
      </c>
    </row>
    <row r="15">
      <c r="B15" s="3" t="s">
        <v>5</v>
      </c>
      <c r="C15" s="11">
        <f t="shared" ref="C15:I15" si="5">C13*C14</f>
        <v>0.125</v>
      </c>
      <c r="D15" s="4">
        <f t="shared" si="5"/>
        <v>0.375</v>
      </c>
      <c r="E15" s="3">
        <f t="shared" si="5"/>
        <v>0.75</v>
      </c>
      <c r="F15" s="3">
        <f t="shared" si="5"/>
        <v>1.25</v>
      </c>
      <c r="G15" s="3">
        <f t="shared" si="5"/>
        <v>1.125</v>
      </c>
      <c r="H15" s="3">
        <f t="shared" si="5"/>
        <v>0.875</v>
      </c>
      <c r="I15" s="3">
        <f t="shared" si="5"/>
        <v>0.5</v>
      </c>
      <c r="J15" s="12">
        <f t="shared" ref="J15:J16" si="7">SUM(C15:I15)</f>
        <v>5</v>
      </c>
      <c r="K15" s="6" t="s">
        <v>6</v>
      </c>
    </row>
    <row r="16">
      <c r="B16" s="4" t="s">
        <v>7</v>
      </c>
      <c r="C16" s="6">
        <f t="shared" ref="C16:I16" si="6">(C13-$J$15)^2*C14</f>
        <v>0.5625</v>
      </c>
      <c r="D16" s="6">
        <f t="shared" si="6"/>
        <v>0.5</v>
      </c>
      <c r="E16" s="6">
        <f t="shared" si="6"/>
        <v>0.1875</v>
      </c>
      <c r="F16" s="6">
        <f t="shared" si="6"/>
        <v>0</v>
      </c>
      <c r="G16" s="6">
        <f t="shared" si="6"/>
        <v>0.1875</v>
      </c>
      <c r="H16" s="6">
        <f t="shared" si="6"/>
        <v>0.5</v>
      </c>
      <c r="I16" s="6">
        <f t="shared" si="6"/>
        <v>0.5625</v>
      </c>
      <c r="J16" s="12">
        <f t="shared" si="7"/>
        <v>2.5</v>
      </c>
      <c r="K16" s="6" t="s">
        <v>8</v>
      </c>
    </row>
    <row r="17">
      <c r="B17" s="3"/>
      <c r="C17" s="3"/>
      <c r="D17" s="3"/>
      <c r="E17" s="3"/>
      <c r="F17" s="3"/>
      <c r="G17" s="8"/>
      <c r="H17" s="8"/>
      <c r="I17" s="8"/>
      <c r="J17" s="8">
        <f>J16^0.5</f>
        <v>1.58113883</v>
      </c>
      <c r="K17" s="6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8.86"/>
    <col customWidth="1" min="3" max="6" width="10.86"/>
    <col customWidth="1" min="7" max="26" width="10.71"/>
  </cols>
  <sheetData>
    <row r="1" ht="16.5" customHeight="1">
      <c r="A1" s="1" t="s">
        <v>0</v>
      </c>
      <c r="B1" s="1" t="s">
        <v>13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 t="s">
        <v>14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3" t="s">
        <v>15</v>
      </c>
      <c r="C3" s="3">
        <v>0.0</v>
      </c>
      <c r="D3" s="3">
        <v>1.0</v>
      </c>
      <c r="E3" s="3">
        <v>2.0</v>
      </c>
      <c r="F3" s="3">
        <v>3.0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3" t="s">
        <v>16</v>
      </c>
      <c r="C4" s="3">
        <v>100.0</v>
      </c>
      <c r="D4" s="3">
        <v>350.0</v>
      </c>
      <c r="E4" s="3">
        <v>400.0</v>
      </c>
      <c r="F4" s="3">
        <v>150.0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 t="s">
        <v>17</v>
      </c>
      <c r="B8" s="1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 t="s">
        <v>19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" t="s">
        <v>20</v>
      </c>
      <c r="C10" s="3">
        <v>0.0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3" t="s">
        <v>21</v>
      </c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0.86"/>
    <col customWidth="1" min="10" max="10" width="10.43"/>
    <col customWidth="1" min="11" max="11" width="19.71"/>
    <col customWidth="1" min="12" max="13" width="10.86"/>
    <col customWidth="1" min="14" max="14" width="13.71"/>
    <col customWidth="1" min="15" max="15" width="10.86"/>
    <col customWidth="1" min="16" max="24" width="10.71"/>
    <col customWidth="1" min="25" max="25" width="17.86"/>
    <col customWidth="1" min="26" max="26" width="10.71"/>
    <col customWidth="1" min="27" max="31" width="22.0"/>
  </cols>
  <sheetData>
    <row r="1" ht="19.5" customHeight="1">
      <c r="A1" s="13" t="s">
        <v>22</v>
      </c>
      <c r="B1" s="13" t="s">
        <v>23</v>
      </c>
      <c r="C1" s="13" t="s">
        <v>23</v>
      </c>
      <c r="D1" s="13" t="s">
        <v>24</v>
      </c>
      <c r="E1" s="13" t="s">
        <v>25</v>
      </c>
      <c r="F1" s="13" t="s">
        <v>24</v>
      </c>
      <c r="G1" s="14"/>
      <c r="H1" s="14" t="s">
        <v>26</v>
      </c>
      <c r="J1" s="14" t="s">
        <v>27</v>
      </c>
      <c r="L1" s="14"/>
      <c r="M1" s="14"/>
      <c r="N1" s="14" t="s">
        <v>28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ht="19.5" customHeight="1">
      <c r="A2" s="14"/>
      <c r="B2" s="14" t="s">
        <v>26</v>
      </c>
      <c r="C2" s="14" t="s">
        <v>29</v>
      </c>
      <c r="D2" s="14" t="s">
        <v>30</v>
      </c>
      <c r="E2" s="14" t="s">
        <v>31</v>
      </c>
      <c r="F2" s="14" t="s">
        <v>32</v>
      </c>
      <c r="G2" s="15"/>
      <c r="H2" s="15">
        <v>1.0</v>
      </c>
      <c r="I2" s="15" t="s">
        <v>33</v>
      </c>
      <c r="J2" s="15">
        <v>1.0</v>
      </c>
      <c r="K2" s="15" t="s">
        <v>34</v>
      </c>
      <c r="L2" s="15"/>
      <c r="M2" s="15"/>
      <c r="N2" s="15"/>
      <c r="O2" s="15" t="s">
        <v>35</v>
      </c>
      <c r="P2" s="15"/>
      <c r="Q2" s="15"/>
      <c r="R2" s="15"/>
      <c r="S2" s="15"/>
      <c r="T2" s="15"/>
      <c r="U2" s="16" t="s">
        <v>36</v>
      </c>
      <c r="V2" s="15"/>
      <c r="W2" s="15"/>
      <c r="X2" s="15"/>
      <c r="Y2" s="16"/>
      <c r="Z2" s="15"/>
      <c r="AA2" s="15"/>
      <c r="AB2" s="15"/>
      <c r="AC2" s="15"/>
      <c r="AD2" s="15"/>
      <c r="AE2" s="15"/>
    </row>
    <row r="3" ht="19.5" customHeight="1">
      <c r="A3" s="15"/>
      <c r="B3" s="15">
        <v>1.0</v>
      </c>
      <c r="C3" s="15">
        <v>1.0</v>
      </c>
      <c r="D3" s="15">
        <v>473.0</v>
      </c>
      <c r="E3" s="15">
        <v>12.0</v>
      </c>
      <c r="F3" s="15">
        <v>1.65</v>
      </c>
      <c r="G3" s="15"/>
      <c r="H3" s="15">
        <v>2.0</v>
      </c>
      <c r="I3" s="15" t="s">
        <v>37</v>
      </c>
      <c r="J3" s="15">
        <v>2.0</v>
      </c>
      <c r="K3" s="15" t="s">
        <v>38</v>
      </c>
      <c r="L3" s="15"/>
      <c r="M3" s="15"/>
      <c r="N3" s="15"/>
      <c r="O3" s="15" t="s">
        <v>39</v>
      </c>
      <c r="P3" s="15"/>
      <c r="Q3" s="15"/>
      <c r="R3" s="15"/>
      <c r="S3" s="15"/>
      <c r="T3" s="15"/>
      <c r="U3" s="16" t="s">
        <v>40</v>
      </c>
      <c r="V3" s="15"/>
      <c r="W3" s="15"/>
      <c r="X3" s="15"/>
      <c r="Y3" s="16" t="s">
        <v>41</v>
      </c>
      <c r="Z3" s="17" t="s">
        <v>42</v>
      </c>
      <c r="AA3" s="15"/>
      <c r="AB3" s="15"/>
      <c r="AC3" s="15"/>
      <c r="AD3" s="15"/>
      <c r="AE3" s="15"/>
    </row>
    <row r="4" ht="19.5" customHeight="1">
      <c r="A4" s="15"/>
      <c r="B4" s="15">
        <v>1.0</v>
      </c>
      <c r="C4" s="15">
        <v>1.0</v>
      </c>
      <c r="D4" s="15">
        <v>515.0</v>
      </c>
      <c r="E4" s="15">
        <v>9.0</v>
      </c>
      <c r="F4" s="15">
        <v>0.89</v>
      </c>
      <c r="G4" s="15"/>
      <c r="H4" s="15"/>
      <c r="I4" s="15"/>
      <c r="J4" s="15">
        <v>3.0</v>
      </c>
      <c r="K4" s="15" t="s">
        <v>43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6" t="s">
        <v>44</v>
      </c>
      <c r="Z4" s="17" t="s">
        <v>45</v>
      </c>
      <c r="AA4" s="15"/>
      <c r="AB4" s="15"/>
      <c r="AC4" s="15"/>
      <c r="AD4" s="15"/>
      <c r="AE4" s="15"/>
    </row>
    <row r="5" ht="19.5" customHeight="1">
      <c r="A5" s="15"/>
      <c r="B5" s="15">
        <v>1.0</v>
      </c>
      <c r="C5" s="15">
        <v>1.0</v>
      </c>
      <c r="D5" s="15">
        <v>772.0</v>
      </c>
      <c r="E5" s="15">
        <v>11.0</v>
      </c>
      <c r="F5" s="15">
        <v>1.13</v>
      </c>
      <c r="G5" s="15"/>
      <c r="H5" s="15"/>
      <c r="I5" s="15"/>
      <c r="J5" s="15"/>
      <c r="K5" s="15"/>
      <c r="L5" s="15"/>
      <c r="M5" s="15"/>
      <c r="N5" s="15" t="s">
        <v>46</v>
      </c>
      <c r="O5" s="15" t="s">
        <v>47</v>
      </c>
      <c r="P5" s="15"/>
      <c r="Q5" s="15"/>
      <c r="R5" s="15"/>
      <c r="S5" s="15"/>
      <c r="T5" s="15"/>
      <c r="U5" s="15"/>
      <c r="V5" s="15"/>
      <c r="W5" s="15"/>
      <c r="X5" s="15"/>
      <c r="Y5" s="16" t="s">
        <v>48</v>
      </c>
      <c r="Z5" s="18">
        <f>S44-S45</f>
        <v>-0.0284057971</v>
      </c>
      <c r="AA5" s="15"/>
      <c r="AB5" s="15"/>
      <c r="AC5" s="15"/>
      <c r="AD5" s="15"/>
      <c r="AE5" s="15"/>
    </row>
    <row r="6" ht="19.5" customHeight="1">
      <c r="A6" s="15"/>
      <c r="B6" s="15">
        <v>1.0</v>
      </c>
      <c r="C6" s="15">
        <v>1.0</v>
      </c>
      <c r="D6" s="15">
        <v>306.0</v>
      </c>
      <c r="E6" s="15">
        <v>7.0</v>
      </c>
      <c r="F6" s="15">
        <v>1.63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</row>
    <row r="7" ht="19.5" customHeight="1">
      <c r="A7" s="15"/>
      <c r="B7" s="15">
        <v>1.0</v>
      </c>
      <c r="C7" s="15">
        <v>1.0</v>
      </c>
      <c r="D7" s="15">
        <v>242.0</v>
      </c>
      <c r="E7" s="15">
        <v>8.0</v>
      </c>
      <c r="F7" s="15">
        <v>2.09</v>
      </c>
      <c r="G7" s="15"/>
      <c r="H7" s="15" t="s">
        <v>49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6" t="s">
        <v>41</v>
      </c>
      <c r="Z7" s="16" t="s">
        <v>50</v>
      </c>
      <c r="AA7" s="15"/>
      <c r="AB7" s="15"/>
      <c r="AC7" s="15"/>
      <c r="AD7" s="15"/>
      <c r="AE7" s="15"/>
    </row>
    <row r="8" ht="19.5" customHeight="1">
      <c r="A8" s="15"/>
      <c r="B8" s="15">
        <v>1.0</v>
      </c>
      <c r="C8" s="15">
        <v>1.0</v>
      </c>
      <c r="D8" s="15">
        <v>490.0</v>
      </c>
      <c r="E8" s="15">
        <v>1.0</v>
      </c>
      <c r="F8" s="15">
        <v>2.25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6" t="s">
        <v>44</v>
      </c>
      <c r="Z8" s="16" t="s">
        <v>51</v>
      </c>
      <c r="AA8" s="15"/>
      <c r="AB8" s="15"/>
      <c r="AC8" s="15"/>
      <c r="AD8" s="15"/>
      <c r="AE8" s="15"/>
    </row>
    <row r="9" ht="19.5" customHeight="1">
      <c r="A9" s="15"/>
      <c r="B9" s="15">
        <v>1.0</v>
      </c>
      <c r="C9" s="15">
        <v>1.0</v>
      </c>
      <c r="D9" s="15">
        <v>288.0</v>
      </c>
      <c r="E9" s="15">
        <v>9.0</v>
      </c>
      <c r="F9" s="15">
        <v>1.44</v>
      </c>
      <c r="G9" s="15"/>
      <c r="H9" s="19" t="s">
        <v>52</v>
      </c>
      <c r="I9" s="19" t="s">
        <v>37</v>
      </c>
      <c r="J9" s="19" t="s">
        <v>33</v>
      </c>
      <c r="K9" s="19" t="s">
        <v>12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6" t="s">
        <v>48</v>
      </c>
      <c r="Z9" s="20">
        <f>L32-L31</f>
        <v>0.2211143526</v>
      </c>
      <c r="AA9" s="15"/>
      <c r="AB9" s="15"/>
      <c r="AC9" s="15"/>
      <c r="AD9" s="15"/>
      <c r="AE9" s="15"/>
    </row>
    <row r="10" ht="19.5" customHeight="1">
      <c r="A10" s="15"/>
      <c r="B10" s="15">
        <v>1.0</v>
      </c>
      <c r="C10" s="15">
        <v>1.0</v>
      </c>
      <c r="D10" s="15">
        <v>281.0</v>
      </c>
      <c r="E10" s="15">
        <v>10.0</v>
      </c>
      <c r="F10" s="15">
        <v>2.27</v>
      </c>
      <c r="G10" s="15"/>
      <c r="H10" s="19" t="s">
        <v>53</v>
      </c>
      <c r="I10" s="19">
        <f>1050/1165</f>
        <v>0.9012875536</v>
      </c>
      <c r="J10" s="19">
        <f>115/1165</f>
        <v>0.09871244635</v>
      </c>
      <c r="K10" s="21">
        <f>SUM(I10:J10)</f>
        <v>1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6" t="s">
        <v>54</v>
      </c>
      <c r="Z10" s="15"/>
      <c r="AA10" s="15"/>
      <c r="AB10" s="15"/>
      <c r="AC10" s="15"/>
      <c r="AD10" s="15"/>
      <c r="AE10" s="15"/>
    </row>
    <row r="11" ht="19.5" customHeight="1">
      <c r="A11" s="15"/>
      <c r="B11" s="15">
        <v>1.0</v>
      </c>
      <c r="C11" s="15">
        <v>1.0</v>
      </c>
      <c r="D11" s="15">
        <v>881.0</v>
      </c>
      <c r="E11" s="15">
        <v>8.0</v>
      </c>
      <c r="F11" s="15">
        <v>1.4</v>
      </c>
      <c r="G11" s="15"/>
      <c r="H11" s="21"/>
      <c r="I11" s="19" t="s">
        <v>55</v>
      </c>
      <c r="J11" s="19" t="s">
        <v>56</v>
      </c>
      <c r="K11" s="21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6" t="s">
        <v>57</v>
      </c>
      <c r="Z11" s="15"/>
      <c r="AA11" s="15"/>
      <c r="AB11" s="15"/>
      <c r="AC11" s="15"/>
      <c r="AD11" s="15"/>
      <c r="AE11" s="15"/>
    </row>
    <row r="12" ht="19.5" customHeight="1">
      <c r="A12" s="15"/>
      <c r="B12" s="15">
        <v>1.0</v>
      </c>
      <c r="C12" s="15">
        <v>1.0</v>
      </c>
      <c r="D12" s="15">
        <v>553.0</v>
      </c>
      <c r="E12" s="15">
        <v>14.0</v>
      </c>
      <c r="F12" s="15">
        <v>1.37</v>
      </c>
      <c r="G12" s="15"/>
      <c r="H12" s="19" t="s">
        <v>58</v>
      </c>
      <c r="I12" s="19">
        <f>MIN(F3:F2000)</f>
        <v>0</v>
      </c>
      <c r="J12" s="19">
        <f>MAX(F1:F2000)</f>
        <v>3.29</v>
      </c>
      <c r="K12" s="21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ht="19.5" customHeight="1">
      <c r="A13" s="15"/>
      <c r="B13" s="15">
        <v>1.0</v>
      </c>
      <c r="C13" s="15">
        <v>1.0</v>
      </c>
      <c r="D13" s="15">
        <v>798.0</v>
      </c>
      <c r="E13" s="15">
        <v>4.0</v>
      </c>
      <c r="F13" s="15">
        <v>1.34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ht="19.5" customHeight="1">
      <c r="A14" s="15"/>
      <c r="B14" s="15">
        <v>1.0</v>
      </c>
      <c r="C14" s="15">
        <v>1.0</v>
      </c>
      <c r="D14" s="15">
        <v>596.0</v>
      </c>
      <c r="E14" s="15">
        <v>15.0</v>
      </c>
      <c r="F14" s="15">
        <v>1.47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ht="19.5" customHeight="1">
      <c r="A15" s="15"/>
      <c r="B15" s="15">
        <v>1.0</v>
      </c>
      <c r="C15" s="15">
        <v>1.0</v>
      </c>
      <c r="D15" s="15">
        <v>653.0</v>
      </c>
      <c r="E15" s="15">
        <v>1.0</v>
      </c>
      <c r="F15" s="15">
        <v>0.75</v>
      </c>
      <c r="G15" s="15"/>
      <c r="H15" s="15"/>
      <c r="I15" s="15"/>
      <c r="J15" s="15"/>
      <c r="K15" s="15"/>
      <c r="L15" s="15"/>
      <c r="M15" s="15"/>
      <c r="N15" s="15"/>
      <c r="O15" s="15"/>
      <c r="P15" s="16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ht="19.5" customHeight="1">
      <c r="A16" s="15"/>
      <c r="B16" s="15">
        <v>1.0</v>
      </c>
      <c r="C16" s="15">
        <v>1.0</v>
      </c>
      <c r="D16" s="15">
        <v>165.0</v>
      </c>
      <c r="E16" s="15">
        <v>8.0</v>
      </c>
      <c r="F16" s="15">
        <v>2.34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ht="19.5" customHeight="1">
      <c r="A17" s="15"/>
      <c r="B17" s="15">
        <v>1.0</v>
      </c>
      <c r="C17" s="15">
        <v>1.0</v>
      </c>
      <c r="D17" s="15">
        <v>339.0</v>
      </c>
      <c r="E17" s="15">
        <v>4.0</v>
      </c>
      <c r="F17" s="15">
        <v>1.56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</row>
    <row r="18" ht="19.5" customHeight="1">
      <c r="A18" s="15"/>
      <c r="B18" s="15">
        <v>1.0</v>
      </c>
      <c r="C18" s="15">
        <v>1.0</v>
      </c>
      <c r="D18" s="15">
        <v>476.0</v>
      </c>
      <c r="E18" s="15">
        <v>7.0</v>
      </c>
      <c r="F18" s="15">
        <v>2.88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</row>
    <row r="19" ht="19.5" customHeight="1">
      <c r="A19" s="15"/>
      <c r="B19" s="15">
        <v>1.0</v>
      </c>
      <c r="C19" s="15">
        <v>1.0</v>
      </c>
      <c r="D19" s="15">
        <v>287.0</v>
      </c>
      <c r="E19" s="15">
        <v>6.0</v>
      </c>
      <c r="F19" s="15">
        <v>2.19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</row>
    <row r="20" ht="19.5" customHeight="1">
      <c r="A20" s="15"/>
      <c r="B20" s="15">
        <v>1.0</v>
      </c>
      <c r="C20" s="15">
        <v>1.0</v>
      </c>
      <c r="D20" s="15">
        <v>923.0</v>
      </c>
      <c r="E20" s="15">
        <v>8.0</v>
      </c>
      <c r="F20" s="15">
        <v>0.5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ht="19.5" customHeight="1">
      <c r="A21" s="15"/>
      <c r="B21" s="15">
        <v>1.0</v>
      </c>
      <c r="C21" s="15">
        <v>1.0</v>
      </c>
      <c r="D21" s="15">
        <v>466.0</v>
      </c>
      <c r="E21" s="15">
        <v>9.0</v>
      </c>
      <c r="F21" s="15">
        <v>2.52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ht="19.5" customHeight="1">
      <c r="A22" s="15"/>
      <c r="B22" s="15">
        <v>1.0</v>
      </c>
      <c r="C22" s="15">
        <v>1.0</v>
      </c>
      <c r="D22" s="15">
        <v>763.0</v>
      </c>
      <c r="E22" s="15">
        <v>6.0</v>
      </c>
      <c r="F22" s="15">
        <v>1.83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</row>
    <row r="23" ht="19.5" customHeight="1">
      <c r="A23" s="15"/>
      <c r="B23" s="15">
        <v>1.0</v>
      </c>
      <c r="C23" s="15">
        <v>1.0</v>
      </c>
      <c r="D23" s="15">
        <v>340.0</v>
      </c>
      <c r="E23" s="15">
        <v>4.0</v>
      </c>
      <c r="F23" s="15">
        <v>1.97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</row>
    <row r="24" ht="19.5" customHeight="1">
      <c r="A24" s="15"/>
      <c r="B24" s="15">
        <v>1.0</v>
      </c>
      <c r="C24" s="15">
        <v>1.0</v>
      </c>
      <c r="D24" s="15">
        <v>501.0</v>
      </c>
      <c r="E24" s="15">
        <v>15.0</v>
      </c>
      <c r="F24" s="15">
        <v>1.79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</row>
    <row r="25" ht="19.5" customHeight="1">
      <c r="A25" s="15"/>
      <c r="B25" s="15">
        <v>1.0</v>
      </c>
      <c r="C25" s="15">
        <v>1.0</v>
      </c>
      <c r="D25" s="15">
        <v>504.0</v>
      </c>
      <c r="E25" s="15">
        <v>7.0</v>
      </c>
      <c r="F25" s="15">
        <v>1.03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</row>
    <row r="26" ht="19.5" customHeight="1">
      <c r="A26" s="15"/>
      <c r="B26" s="15">
        <v>1.0</v>
      </c>
      <c r="C26" s="15">
        <v>1.0</v>
      </c>
      <c r="D26" s="15">
        <v>677.0</v>
      </c>
      <c r="E26" s="15">
        <v>10.0</v>
      </c>
      <c r="F26" s="15">
        <v>2.56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ht="19.5" customHeight="1">
      <c r="A27" s="15"/>
      <c r="B27" s="15">
        <v>1.0</v>
      </c>
      <c r="C27" s="15">
        <v>1.0</v>
      </c>
      <c r="D27" s="15">
        <v>383.0</v>
      </c>
      <c r="E27" s="15">
        <v>8.0</v>
      </c>
      <c r="F27" s="15">
        <v>0.79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ht="19.5" customHeight="1">
      <c r="A28" s="15"/>
      <c r="B28" s="15">
        <v>1.0</v>
      </c>
      <c r="C28" s="15">
        <v>1.0</v>
      </c>
      <c r="D28" s="15">
        <v>553.0</v>
      </c>
      <c r="E28" s="15">
        <v>12.0</v>
      </c>
      <c r="F28" s="15">
        <v>2.33</v>
      </c>
      <c r="G28" s="15"/>
      <c r="H28" s="15"/>
      <c r="I28" s="15"/>
      <c r="J28" s="15"/>
      <c r="K28" s="21"/>
      <c r="L28" s="19" t="s">
        <v>59</v>
      </c>
      <c r="M28" s="19" t="s">
        <v>60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ht="19.5" customHeight="1">
      <c r="A29" s="15"/>
      <c r="B29" s="15">
        <v>1.0</v>
      </c>
      <c r="C29" s="15">
        <v>1.0</v>
      </c>
      <c r="D29" s="15">
        <v>202.0</v>
      </c>
      <c r="E29" s="15">
        <v>9.0</v>
      </c>
      <c r="F29" s="15">
        <v>2.21</v>
      </c>
      <c r="G29" s="15"/>
      <c r="H29" s="15"/>
      <c r="I29" s="15"/>
      <c r="J29" s="15"/>
      <c r="K29" s="19" t="s">
        <v>58</v>
      </c>
      <c r="L29" s="22">
        <f>MIN(F3:F2000)</f>
        <v>0</v>
      </c>
      <c r="M29" s="23">
        <f>MAX(F1:F2000)</f>
        <v>3.29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</row>
    <row r="30" ht="19.5" customHeight="1">
      <c r="A30" s="15"/>
      <c r="B30" s="15">
        <v>1.0</v>
      </c>
      <c r="C30" s="15">
        <v>1.0</v>
      </c>
      <c r="D30" s="15">
        <v>81.0</v>
      </c>
      <c r="E30" s="15">
        <v>6.0</v>
      </c>
      <c r="F30" s="15">
        <v>2.57</v>
      </c>
      <c r="G30" s="15"/>
      <c r="H30" s="15"/>
      <c r="I30" s="15"/>
      <c r="J30" s="15"/>
      <c r="K30" s="19" t="s">
        <v>61</v>
      </c>
      <c r="L30" s="24">
        <f>AVERAGE(F3:F2000)</f>
        <v>1.303361823</v>
      </c>
      <c r="M30" s="21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</row>
    <row r="31" ht="19.5" customHeight="1">
      <c r="A31" s="15"/>
      <c r="B31" s="15">
        <v>1.0</v>
      </c>
      <c r="C31" s="15">
        <v>1.0</v>
      </c>
      <c r="D31" s="15">
        <v>508.0</v>
      </c>
      <c r="E31" s="15">
        <v>13.0</v>
      </c>
      <c r="F31" s="15">
        <v>1.03</v>
      </c>
      <c r="G31" s="15"/>
      <c r="H31" s="15"/>
      <c r="I31" s="15"/>
      <c r="J31" s="15"/>
      <c r="K31" s="19" t="s">
        <v>62</v>
      </c>
      <c r="L31" s="24">
        <f>_xlfn.VAR.S(F4:F2001)</f>
        <v>0.4479246688</v>
      </c>
      <c r="M31" s="21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 ht="19.5" customHeight="1">
      <c r="A32" s="15"/>
      <c r="B32" s="15">
        <v>1.0</v>
      </c>
      <c r="C32" s="15">
        <v>1.0</v>
      </c>
      <c r="D32" s="15">
        <v>530.0</v>
      </c>
      <c r="E32" s="15">
        <v>14.0</v>
      </c>
      <c r="F32" s="15">
        <v>0.27</v>
      </c>
      <c r="G32" s="15"/>
      <c r="H32" s="15"/>
      <c r="I32" s="15"/>
      <c r="J32" s="15"/>
      <c r="K32" s="19" t="s">
        <v>63</v>
      </c>
      <c r="L32" s="24">
        <f>_xlfn.STDEV.S(F3:F2000)</f>
        <v>0.6690390214</v>
      </c>
      <c r="M32" s="21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 ht="19.5" customHeight="1">
      <c r="A33" s="15"/>
      <c r="B33" s="15">
        <v>1.0</v>
      </c>
      <c r="C33" s="15">
        <v>1.0</v>
      </c>
      <c r="D33" s="15">
        <v>725.0</v>
      </c>
      <c r="E33" s="15">
        <v>9.0</v>
      </c>
      <c r="F33" s="15">
        <v>1.74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 ht="19.5" customHeight="1">
      <c r="A34" s="15"/>
      <c r="B34" s="15">
        <v>1.0</v>
      </c>
      <c r="C34" s="15">
        <v>2.0</v>
      </c>
      <c r="D34" s="15">
        <v>665.0</v>
      </c>
      <c r="E34" s="15">
        <v>4.0</v>
      </c>
      <c r="F34" s="15">
        <v>2.04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 ht="19.5" customHeight="1">
      <c r="A35" s="15"/>
      <c r="B35" s="15">
        <v>1.0</v>
      </c>
      <c r="C35" s="15">
        <v>2.0</v>
      </c>
      <c r="D35" s="15">
        <v>729.0</v>
      </c>
      <c r="E35" s="15">
        <v>11.0</v>
      </c>
      <c r="F35" s="15">
        <v>1.82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 ht="19.5" customHeight="1">
      <c r="A36" s="15"/>
      <c r="B36" s="15">
        <v>1.0</v>
      </c>
      <c r="C36" s="15">
        <v>2.0</v>
      </c>
      <c r="D36" s="15">
        <v>74.0</v>
      </c>
      <c r="E36" s="15">
        <v>11.0</v>
      </c>
      <c r="F36" s="15">
        <v>1.45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 ht="19.5" customHeight="1">
      <c r="A37" s="15"/>
      <c r="B37" s="15">
        <v>1.0</v>
      </c>
      <c r="C37" s="15">
        <v>2.0</v>
      </c>
      <c r="D37" s="15">
        <v>414.0</v>
      </c>
      <c r="E37" s="15">
        <v>7.0</v>
      </c>
      <c r="F37" s="15">
        <v>0.1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 ht="19.5" customHeight="1">
      <c r="A38" s="15"/>
      <c r="B38" s="15">
        <v>1.0</v>
      </c>
      <c r="C38" s="15">
        <v>2.0</v>
      </c>
      <c r="D38" s="15">
        <v>903.0</v>
      </c>
      <c r="E38" s="15">
        <v>10.0</v>
      </c>
      <c r="F38" s="15">
        <v>2.5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 ht="19.5" customHeight="1">
      <c r="A39" s="15"/>
      <c r="B39" s="15">
        <v>1.0</v>
      </c>
      <c r="C39" s="15">
        <v>2.0</v>
      </c>
      <c r="D39" s="15">
        <v>383.0</v>
      </c>
      <c r="E39" s="15">
        <v>9.0</v>
      </c>
      <c r="F39" s="15">
        <v>1.7</v>
      </c>
      <c r="G39" s="15"/>
      <c r="H39" s="15"/>
      <c r="I39" s="15"/>
      <c r="J39" s="15"/>
      <c r="K39" s="15"/>
      <c r="L39" s="15"/>
      <c r="M39" s="15"/>
      <c r="N39" s="15"/>
      <c r="O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 ht="19.5" customHeight="1">
      <c r="A40" s="15"/>
      <c r="B40" s="15">
        <v>1.0</v>
      </c>
      <c r="C40" s="15">
        <v>2.0</v>
      </c>
      <c r="D40" s="15">
        <v>439.0</v>
      </c>
      <c r="E40" s="15">
        <v>14.0</v>
      </c>
      <c r="F40" s="15">
        <v>1.42</v>
      </c>
      <c r="G40" s="15"/>
      <c r="H40" s="15"/>
      <c r="I40" s="15"/>
      <c r="J40" s="15"/>
      <c r="K40" s="15"/>
      <c r="L40" s="15"/>
      <c r="M40" s="15"/>
      <c r="N40" s="15"/>
      <c r="O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 ht="19.5" customHeight="1">
      <c r="A41" s="15"/>
      <c r="B41" s="15">
        <v>1.0</v>
      </c>
      <c r="C41" s="15">
        <v>2.0</v>
      </c>
      <c r="D41" s="15">
        <v>515.0</v>
      </c>
      <c r="E41" s="15">
        <v>12.0</v>
      </c>
      <c r="F41" s="15">
        <v>2.11</v>
      </c>
      <c r="G41" s="15"/>
      <c r="H41" s="15"/>
      <c r="I41" s="15"/>
      <c r="J41" s="15"/>
      <c r="K41" s="15"/>
      <c r="L41" s="15"/>
      <c r="M41" s="15"/>
      <c r="N41" s="15"/>
      <c r="O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 ht="19.5" customHeight="1">
      <c r="A42" s="15"/>
      <c r="B42" s="15">
        <v>1.0</v>
      </c>
      <c r="C42" s="15">
        <v>2.0</v>
      </c>
      <c r="D42" s="15">
        <v>756.0</v>
      </c>
      <c r="E42" s="15">
        <v>10.0</v>
      </c>
      <c r="F42" s="15">
        <v>1.25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 ht="19.5" customHeight="1">
      <c r="A43" s="15"/>
      <c r="B43" s="15">
        <v>1.0</v>
      </c>
      <c r="C43" s="15">
        <v>2.0</v>
      </c>
      <c r="D43" s="15">
        <v>691.0</v>
      </c>
      <c r="E43" s="15">
        <v>9.0</v>
      </c>
      <c r="F43" s="15">
        <v>1.7</v>
      </c>
      <c r="G43" s="15"/>
      <c r="H43" s="15"/>
      <c r="I43" s="15"/>
      <c r="J43" s="15"/>
      <c r="K43" s="15"/>
      <c r="L43" s="15"/>
      <c r="M43" s="15"/>
      <c r="N43" s="15"/>
      <c r="O43" s="15"/>
      <c r="P43" s="16" t="s">
        <v>66</v>
      </c>
      <c r="Q43" s="15"/>
      <c r="R43" s="15"/>
      <c r="S43" s="15">
        <f>COUNTA(F3:F2000)/1165</f>
        <v>0.9038626609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 ht="19.5" customHeight="1">
      <c r="A44" s="15"/>
      <c r="B44" s="15">
        <v>1.0</v>
      </c>
      <c r="C44" s="15">
        <v>3.0</v>
      </c>
      <c r="D44" s="15">
        <v>582.0</v>
      </c>
      <c r="E44" s="15">
        <v>13.0</v>
      </c>
      <c r="F44" s="15">
        <v>0.78</v>
      </c>
      <c r="G44" s="15"/>
      <c r="H44" s="15"/>
      <c r="I44" s="15"/>
      <c r="J44" s="15"/>
      <c r="K44" s="15"/>
      <c r="L44" s="15"/>
      <c r="M44" s="15"/>
      <c r="N44" s="15"/>
      <c r="O44" s="15"/>
      <c r="P44" s="16" t="s">
        <v>67</v>
      </c>
      <c r="Q44" s="15"/>
      <c r="R44" s="15"/>
      <c r="S44" s="26">
        <f>101/115</f>
        <v>0.8782608696</v>
      </c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 ht="19.5" customHeight="1">
      <c r="A45" s="15"/>
      <c r="B45" s="15">
        <v>1.0</v>
      </c>
      <c r="C45" s="15">
        <v>3.0</v>
      </c>
      <c r="D45" s="15">
        <v>796.0</v>
      </c>
      <c r="E45" s="15">
        <v>12.0</v>
      </c>
      <c r="F45" s="15">
        <v>1.68</v>
      </c>
      <c r="G45" s="15"/>
      <c r="H45" s="15"/>
      <c r="I45" s="15"/>
      <c r="J45" s="15"/>
      <c r="K45" s="15"/>
      <c r="L45" s="15"/>
      <c r="M45" s="15"/>
      <c r="N45" s="15"/>
      <c r="O45" s="15"/>
      <c r="P45" s="16" t="s">
        <v>68</v>
      </c>
      <c r="Q45" s="15"/>
      <c r="R45" s="15"/>
      <c r="S45" s="26">
        <f>952/1050</f>
        <v>0.9066666667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 ht="19.5" customHeight="1">
      <c r="A46" s="15"/>
      <c r="B46" s="15">
        <v>1.0</v>
      </c>
      <c r="C46" s="15">
        <v>3.0</v>
      </c>
      <c r="D46" s="15">
        <v>746.0</v>
      </c>
      <c r="E46" s="15">
        <v>1.0</v>
      </c>
      <c r="F46" s="15">
        <v>1.39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 ht="19.5" customHeight="1">
      <c r="A47" s="15"/>
      <c r="B47" s="15">
        <v>1.0</v>
      </c>
      <c r="C47" s="15">
        <v>3.0</v>
      </c>
      <c r="D47" s="15">
        <v>230.0</v>
      </c>
      <c r="E47" s="15">
        <v>7.0</v>
      </c>
      <c r="F47" s="15">
        <v>1.44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 ht="19.5" customHeight="1">
      <c r="A48" s="15"/>
      <c r="B48" s="15">
        <v>1.0</v>
      </c>
      <c r="C48" s="15">
        <v>3.0</v>
      </c>
      <c r="D48" s="15">
        <v>350.0</v>
      </c>
      <c r="E48" s="15">
        <v>7.0</v>
      </c>
      <c r="F48" s="15">
        <v>2.98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 ht="19.5" customHeight="1">
      <c r="A49" s="15"/>
      <c r="B49" s="15">
        <v>1.0</v>
      </c>
      <c r="C49" s="15">
        <v>3.0</v>
      </c>
      <c r="D49" s="15">
        <v>463.0</v>
      </c>
      <c r="E49" s="15">
        <v>9.0</v>
      </c>
      <c r="F49" s="15">
        <v>1.79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ht="19.5" customHeight="1">
      <c r="A50" s="15"/>
      <c r="B50" s="15">
        <v>1.0</v>
      </c>
      <c r="C50" s="15">
        <v>3.0</v>
      </c>
      <c r="D50" s="15">
        <v>472.0</v>
      </c>
      <c r="E50" s="15">
        <v>13.0</v>
      </c>
      <c r="F50" s="15">
        <v>1.02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 ht="19.5" customHeight="1">
      <c r="A51" s="15"/>
      <c r="B51" s="15">
        <v>1.0</v>
      </c>
      <c r="C51" s="15">
        <v>3.0</v>
      </c>
      <c r="D51" s="15">
        <v>562.0</v>
      </c>
      <c r="E51" s="15">
        <v>6.0</v>
      </c>
      <c r="F51" s="15">
        <v>1.98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 ht="19.5" customHeight="1">
      <c r="A52" s="15"/>
      <c r="B52" s="15">
        <v>1.0</v>
      </c>
      <c r="C52" s="15">
        <v>3.0</v>
      </c>
      <c r="D52" s="15">
        <v>740.0</v>
      </c>
      <c r="E52" s="15">
        <v>7.0</v>
      </c>
      <c r="F52" s="15">
        <v>2.01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  <row r="53" ht="19.5" customHeight="1">
      <c r="A53" s="15"/>
      <c r="B53" s="15">
        <v>1.0</v>
      </c>
      <c r="C53" s="15">
        <v>3.0</v>
      </c>
      <c r="D53" s="15">
        <v>637.0</v>
      </c>
      <c r="E53" s="15">
        <v>3.0</v>
      </c>
      <c r="F53" s="15">
        <v>1.89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</row>
    <row r="54" ht="19.5" customHeight="1">
      <c r="A54" s="15"/>
      <c r="B54" s="15">
        <v>1.0</v>
      </c>
      <c r="C54" s="15">
        <v>3.0</v>
      </c>
      <c r="D54" s="15">
        <v>523.0</v>
      </c>
      <c r="E54" s="15">
        <v>2.0</v>
      </c>
      <c r="F54" s="15">
        <v>1.55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</row>
    <row r="55" ht="19.5" customHeight="1">
      <c r="A55" s="15"/>
      <c r="B55" s="15">
        <v>1.0</v>
      </c>
      <c r="C55" s="15">
        <v>3.0</v>
      </c>
      <c r="D55" s="15">
        <v>393.0</v>
      </c>
      <c r="E55" s="15">
        <v>7.0</v>
      </c>
      <c r="F55" s="15">
        <v>1.67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</row>
    <row r="56" ht="19.5" customHeight="1">
      <c r="A56" s="15"/>
      <c r="B56" s="15">
        <v>1.0</v>
      </c>
      <c r="C56" s="15">
        <v>3.0</v>
      </c>
      <c r="D56" s="15">
        <v>1007.0</v>
      </c>
      <c r="E56" s="15">
        <v>3.0</v>
      </c>
      <c r="F56" s="15">
        <v>1.17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</row>
    <row r="57" ht="19.5" customHeight="1">
      <c r="A57" s="15"/>
      <c r="B57" s="15">
        <v>1.0</v>
      </c>
      <c r="C57" s="15">
        <v>3.0</v>
      </c>
      <c r="D57" s="15">
        <v>433.0</v>
      </c>
      <c r="E57" s="15">
        <v>9.0</v>
      </c>
      <c r="F57" s="15">
        <v>1.44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</row>
    <row r="58" ht="19.5" customHeight="1">
      <c r="A58" s="15"/>
      <c r="B58" s="15">
        <v>1.0</v>
      </c>
      <c r="C58" s="15">
        <v>3.0</v>
      </c>
      <c r="D58" s="15">
        <v>1440.0</v>
      </c>
      <c r="E58" s="15">
        <v>13.0</v>
      </c>
      <c r="F58" s="15">
        <v>1.23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</row>
    <row r="59" ht="19.5" customHeight="1">
      <c r="A59" s="15"/>
      <c r="B59" s="15">
        <v>1.0</v>
      </c>
      <c r="C59" s="15">
        <v>3.0</v>
      </c>
      <c r="D59" s="15">
        <v>773.0</v>
      </c>
      <c r="E59" s="15">
        <v>5.0</v>
      </c>
      <c r="F59" s="15">
        <v>0.68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</row>
    <row r="60" ht="19.5" customHeight="1">
      <c r="A60" s="15"/>
      <c r="B60" s="15">
        <v>1.0</v>
      </c>
      <c r="C60" s="15">
        <v>3.0</v>
      </c>
      <c r="D60" s="15">
        <v>694.0</v>
      </c>
      <c r="E60" s="15">
        <v>14.0</v>
      </c>
      <c r="F60" s="15">
        <v>2.04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</row>
    <row r="61" ht="19.5" customHeight="1">
      <c r="A61" s="15"/>
      <c r="B61" s="15">
        <v>1.0</v>
      </c>
      <c r="C61" s="15">
        <v>3.0</v>
      </c>
      <c r="D61" s="15">
        <v>498.0</v>
      </c>
      <c r="E61" s="15">
        <v>15.0</v>
      </c>
      <c r="F61" s="15">
        <v>0.78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</row>
    <row r="62" ht="19.5" customHeight="1">
      <c r="A62" s="15"/>
      <c r="B62" s="15">
        <v>1.0</v>
      </c>
      <c r="C62" s="15">
        <v>3.0</v>
      </c>
      <c r="D62" s="15">
        <v>700.0</v>
      </c>
      <c r="E62" s="15">
        <v>13.0</v>
      </c>
      <c r="F62" s="15">
        <v>1.66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ht="19.5" customHeight="1">
      <c r="A63" s="15"/>
      <c r="B63" s="15">
        <v>1.0</v>
      </c>
      <c r="C63" s="15">
        <v>3.0</v>
      </c>
      <c r="D63" s="15">
        <v>1134.0</v>
      </c>
      <c r="E63" s="15">
        <v>10.0</v>
      </c>
      <c r="F63" s="15">
        <v>0.94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ht="19.5" customHeight="1">
      <c r="A64" s="15"/>
      <c r="B64" s="15">
        <v>1.0</v>
      </c>
      <c r="C64" s="15">
        <v>3.0</v>
      </c>
      <c r="D64" s="15">
        <v>191.0</v>
      </c>
      <c r="E64" s="15">
        <v>7.0</v>
      </c>
      <c r="F64" s="15">
        <v>1.2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</row>
    <row r="65" ht="19.5" customHeight="1">
      <c r="A65" s="15"/>
      <c r="B65" s="15">
        <v>1.0</v>
      </c>
      <c r="C65" s="15">
        <v>3.0</v>
      </c>
      <c r="D65" s="15">
        <v>329.0</v>
      </c>
      <c r="E65" s="15">
        <v>7.0</v>
      </c>
      <c r="F65" s="15">
        <v>1.65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</row>
    <row r="66" ht="19.5" customHeight="1">
      <c r="A66" s="15"/>
      <c r="B66" s="15">
        <v>1.0</v>
      </c>
      <c r="C66" s="15">
        <v>3.0</v>
      </c>
      <c r="D66" s="15">
        <v>1020.0</v>
      </c>
      <c r="E66" s="15">
        <v>16.0</v>
      </c>
      <c r="F66" s="15">
        <v>1.11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ht="19.5" customHeight="1">
      <c r="A67" s="15"/>
      <c r="B67" s="15">
        <v>1.0</v>
      </c>
      <c r="C67" s="15">
        <v>3.0</v>
      </c>
      <c r="D67" s="15">
        <v>831.0</v>
      </c>
      <c r="E67" s="15">
        <v>3.0</v>
      </c>
      <c r="F67" s="15">
        <v>2.16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</row>
    <row r="68" ht="19.5" customHeight="1">
      <c r="A68" s="15"/>
      <c r="B68" s="15">
        <v>1.0</v>
      </c>
      <c r="C68" s="15">
        <v>3.0</v>
      </c>
      <c r="D68" s="15">
        <v>523.0</v>
      </c>
      <c r="E68" s="15">
        <v>13.0</v>
      </c>
      <c r="F68" s="15">
        <v>0.63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</row>
    <row r="69" ht="19.5" customHeight="1">
      <c r="A69" s="15"/>
      <c r="B69" s="15">
        <v>1.0</v>
      </c>
      <c r="C69" s="15">
        <v>3.0</v>
      </c>
      <c r="D69" s="15">
        <v>92.0</v>
      </c>
      <c r="E69" s="15">
        <v>6.0</v>
      </c>
      <c r="F69" s="15">
        <v>1.99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</row>
    <row r="70" ht="19.5" customHeight="1">
      <c r="A70" s="15"/>
      <c r="B70" s="15">
        <v>1.0</v>
      </c>
      <c r="C70" s="15">
        <v>3.0</v>
      </c>
      <c r="D70" s="15">
        <v>743.0</v>
      </c>
      <c r="E70" s="15">
        <v>6.0</v>
      </c>
      <c r="F70" s="15">
        <v>1.49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</row>
    <row r="71" ht="19.5" customHeight="1">
      <c r="A71" s="15"/>
      <c r="B71" s="15">
        <v>1.0</v>
      </c>
      <c r="C71" s="15">
        <v>3.0</v>
      </c>
      <c r="D71" s="15">
        <v>597.0</v>
      </c>
      <c r="E71" s="15">
        <v>11.0</v>
      </c>
      <c r="F71" s="15">
        <v>0.78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</row>
    <row r="72" ht="19.5" customHeight="1">
      <c r="A72" s="15"/>
      <c r="B72" s="15">
        <v>1.0</v>
      </c>
      <c r="C72" s="15">
        <v>3.0</v>
      </c>
      <c r="D72" s="15">
        <v>347.0</v>
      </c>
      <c r="E72" s="15">
        <v>9.0</v>
      </c>
      <c r="F72" s="15">
        <v>1.8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</row>
    <row r="73" ht="19.5" customHeight="1">
      <c r="A73" s="15"/>
      <c r="B73" s="15">
        <v>1.0</v>
      </c>
      <c r="C73" s="15">
        <v>3.0</v>
      </c>
      <c r="D73" s="15">
        <v>484.0</v>
      </c>
      <c r="E73" s="15">
        <v>1.0</v>
      </c>
      <c r="F73" s="15">
        <v>2.14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</row>
    <row r="74" ht="19.5" customHeight="1">
      <c r="A74" s="15"/>
      <c r="B74" s="15">
        <v>1.0</v>
      </c>
      <c r="C74" s="15">
        <v>3.0</v>
      </c>
      <c r="D74" s="15">
        <v>365.0</v>
      </c>
      <c r="E74" s="15">
        <v>10.0</v>
      </c>
      <c r="F74" s="15">
        <v>0.9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</row>
    <row r="75" ht="19.5" customHeight="1">
      <c r="A75" s="15"/>
      <c r="B75" s="15">
        <v>1.0</v>
      </c>
      <c r="C75" s="15">
        <v>3.0</v>
      </c>
      <c r="D75" s="15">
        <v>933.0</v>
      </c>
      <c r="E75" s="15">
        <v>14.0</v>
      </c>
      <c r="F75" s="15">
        <v>0.31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</row>
    <row r="76" ht="19.5" customHeight="1">
      <c r="A76" s="15"/>
      <c r="B76" s="15">
        <v>1.0</v>
      </c>
      <c r="C76" s="15">
        <v>3.0</v>
      </c>
      <c r="D76" s="15">
        <v>660.0</v>
      </c>
      <c r="E76" s="15">
        <v>9.0</v>
      </c>
      <c r="F76" s="15">
        <v>1.2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</row>
    <row r="77" ht="19.5" customHeight="1">
      <c r="A77" s="15"/>
      <c r="B77" s="15">
        <v>1.0</v>
      </c>
      <c r="C77" s="15">
        <v>3.0</v>
      </c>
      <c r="D77" s="15">
        <v>852.0</v>
      </c>
      <c r="E77" s="15">
        <v>14.0</v>
      </c>
      <c r="F77" s="15">
        <v>2.02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</row>
    <row r="78" ht="19.5" customHeight="1">
      <c r="A78" s="15"/>
      <c r="B78" s="15">
        <v>1.0</v>
      </c>
      <c r="C78" s="15">
        <v>3.0</v>
      </c>
      <c r="D78" s="15">
        <v>225.0</v>
      </c>
      <c r="E78" s="15">
        <v>10.0</v>
      </c>
      <c r="F78" s="15">
        <v>1.48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ht="19.5" customHeight="1">
      <c r="A79" s="15"/>
      <c r="B79" s="15">
        <v>1.0</v>
      </c>
      <c r="C79" s="15">
        <v>3.0</v>
      </c>
      <c r="D79" s="15">
        <v>451.0</v>
      </c>
      <c r="E79" s="15">
        <v>9.0</v>
      </c>
      <c r="F79" s="15">
        <v>1.7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</row>
    <row r="80" ht="19.5" customHeight="1">
      <c r="A80" s="15"/>
      <c r="B80" s="15">
        <v>1.0</v>
      </c>
      <c r="C80" s="15">
        <v>3.0</v>
      </c>
      <c r="D80" s="15">
        <v>828.0</v>
      </c>
      <c r="E80" s="15">
        <v>9.0</v>
      </c>
      <c r="F80" s="15">
        <v>1.34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</row>
    <row r="81" ht="19.5" customHeight="1">
      <c r="A81" s="15"/>
      <c r="B81" s="15">
        <v>1.0</v>
      </c>
      <c r="C81" s="15">
        <v>3.0</v>
      </c>
      <c r="D81" s="15">
        <v>708.0</v>
      </c>
      <c r="E81" s="15">
        <v>13.0</v>
      </c>
      <c r="F81" s="15">
        <v>2.35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ht="19.5" customHeight="1">
      <c r="A82" s="15"/>
      <c r="B82" s="15">
        <v>1.0</v>
      </c>
      <c r="C82" s="15">
        <v>3.0</v>
      </c>
      <c r="D82" s="15">
        <v>733.0</v>
      </c>
      <c r="E82" s="15">
        <v>2.0</v>
      </c>
      <c r="F82" s="15">
        <v>1.21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</row>
    <row r="83" ht="19.5" customHeight="1">
      <c r="A83" s="15"/>
      <c r="B83" s="15">
        <v>1.0</v>
      </c>
      <c r="C83" s="15">
        <v>3.0</v>
      </c>
      <c r="D83" s="15">
        <v>291.0</v>
      </c>
      <c r="E83" s="15">
        <v>3.0</v>
      </c>
      <c r="F83" s="15">
        <v>2.42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</row>
    <row r="84" ht="19.5" customHeight="1">
      <c r="A84" s="15"/>
      <c r="B84" s="15">
        <v>1.0</v>
      </c>
      <c r="C84" s="15">
        <v>3.0</v>
      </c>
      <c r="D84" s="15">
        <v>377.0</v>
      </c>
      <c r="E84" s="15">
        <v>11.0</v>
      </c>
      <c r="F84" s="15">
        <v>2.3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</row>
    <row r="85" ht="19.5" customHeight="1">
      <c r="A85" s="15"/>
      <c r="B85" s="15">
        <v>1.0</v>
      </c>
      <c r="C85" s="15">
        <v>3.0</v>
      </c>
      <c r="D85" s="15">
        <v>385.0</v>
      </c>
      <c r="E85" s="15">
        <v>9.0</v>
      </c>
      <c r="F85" s="15">
        <v>1.76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</row>
    <row r="86" ht="19.5" customHeight="1">
      <c r="A86" s="15"/>
      <c r="B86" s="15">
        <v>1.0</v>
      </c>
      <c r="C86" s="15">
        <v>3.0</v>
      </c>
      <c r="D86" s="15">
        <v>764.0</v>
      </c>
      <c r="E86" s="15">
        <v>15.0</v>
      </c>
      <c r="F86" s="15">
        <v>1.37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</row>
    <row r="87" ht="19.5" customHeight="1">
      <c r="A87" s="15"/>
      <c r="B87" s="15">
        <v>1.0</v>
      </c>
      <c r="C87" s="15">
        <v>3.0</v>
      </c>
      <c r="D87" s="15">
        <v>380.0</v>
      </c>
      <c r="E87" s="15">
        <v>14.0</v>
      </c>
      <c r="F87" s="15">
        <v>1.69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</row>
    <row r="88" ht="19.5" customHeight="1">
      <c r="A88" s="15"/>
      <c r="B88" s="15">
        <v>1.0</v>
      </c>
      <c r="C88" s="15">
        <v>3.0</v>
      </c>
      <c r="D88" s="15">
        <v>231.0</v>
      </c>
      <c r="E88" s="15">
        <v>14.0</v>
      </c>
      <c r="F88" s="15">
        <v>0.86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</row>
    <row r="89" ht="19.5" customHeight="1">
      <c r="A89" s="15"/>
      <c r="B89" s="15">
        <v>1.0</v>
      </c>
      <c r="C89" s="15">
        <v>3.0</v>
      </c>
      <c r="D89" s="15">
        <v>441.0</v>
      </c>
      <c r="E89" s="15">
        <v>8.0</v>
      </c>
      <c r="F89" s="15">
        <v>0.62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</row>
    <row r="90" ht="19.5" customHeight="1">
      <c r="A90" s="15"/>
      <c r="B90" s="15">
        <v>1.0</v>
      </c>
      <c r="C90" s="15">
        <v>3.0</v>
      </c>
      <c r="D90" s="15">
        <v>703.0</v>
      </c>
      <c r="E90" s="15">
        <v>7.0</v>
      </c>
      <c r="F90" s="15">
        <v>0.47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</row>
    <row r="91" ht="19.5" customHeight="1">
      <c r="A91" s="15"/>
      <c r="B91" s="15">
        <v>1.0</v>
      </c>
      <c r="C91" s="15">
        <v>3.0</v>
      </c>
      <c r="D91" s="15">
        <v>329.0</v>
      </c>
      <c r="E91" s="15">
        <v>8.0</v>
      </c>
      <c r="F91" s="15">
        <v>0.22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</row>
    <row r="92" ht="19.5" customHeight="1">
      <c r="A92" s="15"/>
      <c r="B92" s="15">
        <v>1.0</v>
      </c>
      <c r="C92" s="15">
        <v>3.0</v>
      </c>
      <c r="D92" s="15">
        <v>801.0</v>
      </c>
      <c r="E92" s="15">
        <v>10.0</v>
      </c>
      <c r="F92" s="15">
        <v>2.46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</row>
    <row r="93" ht="19.5" customHeight="1">
      <c r="A93" s="15"/>
      <c r="B93" s="15">
        <v>1.0</v>
      </c>
      <c r="C93" s="15">
        <v>3.0</v>
      </c>
      <c r="D93" s="15">
        <v>616.0</v>
      </c>
      <c r="E93" s="15">
        <v>8.0</v>
      </c>
      <c r="F93" s="15">
        <v>1.24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</row>
    <row r="94" ht="19.5" customHeight="1">
      <c r="A94" s="15"/>
      <c r="B94" s="15">
        <v>1.0</v>
      </c>
      <c r="C94" s="15">
        <v>3.0</v>
      </c>
      <c r="D94" s="15">
        <v>732.0</v>
      </c>
      <c r="E94" s="15">
        <v>17.0</v>
      </c>
      <c r="F94" s="15">
        <v>1.86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</row>
    <row r="95" ht="19.5" customHeight="1">
      <c r="A95" s="15"/>
      <c r="B95" s="15">
        <v>1.0</v>
      </c>
      <c r="C95" s="15">
        <v>3.0</v>
      </c>
      <c r="D95" s="15">
        <v>1087.0</v>
      </c>
      <c r="E95" s="15">
        <v>10.0</v>
      </c>
      <c r="F95" s="15">
        <v>0.76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</row>
    <row r="96" ht="19.5" customHeight="1">
      <c r="A96" s="15"/>
      <c r="B96" s="15">
        <v>1.0</v>
      </c>
      <c r="C96" s="15">
        <v>3.0</v>
      </c>
      <c r="D96" s="15">
        <v>329.0</v>
      </c>
      <c r="E96" s="15">
        <v>11.0</v>
      </c>
      <c r="F96" s="15">
        <v>2.97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</row>
    <row r="97" ht="19.5" customHeight="1">
      <c r="A97" s="15"/>
      <c r="B97" s="15">
        <v>1.0</v>
      </c>
      <c r="C97" s="15">
        <v>3.0</v>
      </c>
      <c r="D97" s="15">
        <v>538.0</v>
      </c>
      <c r="E97" s="15">
        <v>7.0</v>
      </c>
      <c r="F97" s="15">
        <v>1.01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ht="19.5" customHeight="1">
      <c r="A98" s="15"/>
      <c r="B98" s="15">
        <v>1.0</v>
      </c>
      <c r="C98" s="15">
        <v>3.0</v>
      </c>
      <c r="D98" s="15">
        <v>367.0</v>
      </c>
      <c r="E98" s="15">
        <v>13.0</v>
      </c>
      <c r="F98" s="15">
        <v>2.2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ht="19.5" customHeight="1">
      <c r="A99" s="15"/>
      <c r="B99" s="15">
        <v>1.0</v>
      </c>
      <c r="C99" s="15">
        <v>3.0</v>
      </c>
      <c r="D99" s="15">
        <v>628.0</v>
      </c>
      <c r="E99" s="15">
        <v>20.0</v>
      </c>
      <c r="F99" s="15">
        <v>0.45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</row>
    <row r="100" ht="19.5" customHeight="1">
      <c r="A100" s="15"/>
      <c r="B100" s="15">
        <v>1.0</v>
      </c>
      <c r="C100" s="15">
        <v>3.0</v>
      </c>
      <c r="D100" s="15">
        <v>489.0</v>
      </c>
      <c r="E100" s="15">
        <v>17.0</v>
      </c>
      <c r="F100" s="15">
        <v>1.38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</row>
    <row r="101" ht="19.5" customHeight="1">
      <c r="A101" s="15"/>
      <c r="B101" s="15">
        <v>1.0</v>
      </c>
      <c r="C101" s="15">
        <v>3.0</v>
      </c>
      <c r="D101" s="15">
        <v>345.0</v>
      </c>
      <c r="E101" s="15">
        <v>15.0</v>
      </c>
      <c r="F101" s="15">
        <v>1.58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</row>
    <row r="102" ht="19.5" customHeight="1">
      <c r="A102" s="15"/>
      <c r="B102" s="15">
        <v>1.0</v>
      </c>
      <c r="C102" s="15">
        <v>3.0</v>
      </c>
      <c r="D102" s="15">
        <v>588.0</v>
      </c>
      <c r="E102" s="15">
        <v>10.0</v>
      </c>
      <c r="F102" s="15">
        <v>1.38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ht="19.5" customHeight="1">
      <c r="A103" s="15"/>
      <c r="B103" s="15">
        <v>1.0</v>
      </c>
      <c r="C103" s="15">
        <v>3.0</v>
      </c>
      <c r="D103" s="15">
        <v>361.0</v>
      </c>
      <c r="E103" s="15">
        <v>7.0</v>
      </c>
      <c r="F103" s="15">
        <v>1.63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ht="19.5" customHeight="1">
      <c r="A104" s="15"/>
      <c r="B104" s="15">
        <v>2.0</v>
      </c>
      <c r="C104" s="15">
        <v>1.0</v>
      </c>
      <c r="D104" s="15">
        <v>547.0</v>
      </c>
      <c r="E104" s="15">
        <v>11.0</v>
      </c>
      <c r="F104" s="15">
        <v>2.68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ht="19.5" customHeight="1">
      <c r="A105" s="15"/>
      <c r="B105" s="15">
        <v>2.0</v>
      </c>
      <c r="C105" s="15">
        <v>1.0</v>
      </c>
      <c r="D105" s="15">
        <v>877.0</v>
      </c>
      <c r="E105" s="15">
        <v>7.0</v>
      </c>
      <c r="F105" s="15">
        <v>1.06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ht="19.5" customHeight="1">
      <c r="A106" s="15"/>
      <c r="B106" s="15">
        <v>2.0</v>
      </c>
      <c r="C106" s="15">
        <v>1.0</v>
      </c>
      <c r="D106" s="15">
        <v>1213.0</v>
      </c>
      <c r="E106" s="15">
        <v>19.0</v>
      </c>
      <c r="F106" s="15">
        <v>1.28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ht="19.5" customHeight="1">
      <c r="A107" s="15"/>
      <c r="B107" s="15">
        <v>2.0</v>
      </c>
      <c r="C107" s="15">
        <v>1.0</v>
      </c>
      <c r="D107" s="15">
        <v>926.0</v>
      </c>
      <c r="E107" s="15">
        <v>8.0</v>
      </c>
      <c r="F107" s="15">
        <v>1.24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ht="19.5" customHeight="1">
      <c r="A108" s="15"/>
      <c r="B108" s="15">
        <v>2.0</v>
      </c>
      <c r="C108" s="15">
        <v>1.0</v>
      </c>
      <c r="D108" s="15">
        <v>1596.0</v>
      </c>
      <c r="E108" s="15">
        <v>19.0</v>
      </c>
      <c r="F108" s="15">
        <v>1.72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ht="19.5" customHeight="1">
      <c r="A109" s="15"/>
      <c r="B109" s="15">
        <v>2.0</v>
      </c>
      <c r="C109" s="15">
        <v>1.0</v>
      </c>
      <c r="D109" s="15">
        <v>1561.0</v>
      </c>
      <c r="E109" s="15">
        <v>7.0</v>
      </c>
      <c r="F109" s="15">
        <v>1.76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ht="19.5" customHeight="1">
      <c r="A110" s="15"/>
      <c r="B110" s="15">
        <v>2.0</v>
      </c>
      <c r="C110" s="15">
        <v>1.0</v>
      </c>
      <c r="D110" s="15">
        <v>1226.0</v>
      </c>
      <c r="E110" s="15">
        <v>14.0</v>
      </c>
      <c r="F110" s="15">
        <v>0.99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ht="19.5" customHeight="1">
      <c r="A111" s="15"/>
      <c r="B111" s="15">
        <v>2.0</v>
      </c>
      <c r="C111" s="15">
        <v>1.0</v>
      </c>
      <c r="D111" s="15">
        <v>1330.0</v>
      </c>
      <c r="E111" s="15">
        <v>12.0</v>
      </c>
      <c r="F111" s="15">
        <v>1.93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  <row r="112" ht="19.5" customHeight="1">
      <c r="A112" s="15"/>
      <c r="B112" s="15">
        <v>2.0</v>
      </c>
      <c r="C112" s="15">
        <v>1.0</v>
      </c>
      <c r="D112" s="15">
        <v>1180.0</v>
      </c>
      <c r="E112" s="15">
        <v>18.0</v>
      </c>
      <c r="F112" s="15">
        <v>1.38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ht="19.5" customHeight="1">
      <c r="A113" s="15"/>
      <c r="B113" s="15">
        <v>2.0</v>
      </c>
      <c r="C113" s="15">
        <v>1.0</v>
      </c>
      <c r="D113" s="15">
        <v>1330.0</v>
      </c>
      <c r="E113" s="15">
        <v>14.0</v>
      </c>
      <c r="F113" s="15">
        <v>1.03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ht="19.5" customHeight="1">
      <c r="A114" s="15"/>
      <c r="B114" s="15">
        <v>2.0</v>
      </c>
      <c r="C114" s="15">
        <v>1.0</v>
      </c>
      <c r="D114" s="15">
        <v>1707.0</v>
      </c>
      <c r="E114" s="15">
        <v>12.0</v>
      </c>
      <c r="F114" s="15">
        <v>1.85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</row>
    <row r="115" ht="19.5" customHeight="1">
      <c r="A115" s="15"/>
      <c r="B115" s="15">
        <v>2.0</v>
      </c>
      <c r="C115" s="15">
        <v>1.0</v>
      </c>
      <c r="D115" s="15">
        <v>947.0</v>
      </c>
      <c r="E115" s="15">
        <v>12.0</v>
      </c>
      <c r="F115" s="15">
        <v>0.68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</row>
    <row r="116" ht="19.5" customHeight="1">
      <c r="A116" s="15"/>
      <c r="B116" s="15">
        <v>2.0</v>
      </c>
      <c r="C116" s="15">
        <v>1.0</v>
      </c>
      <c r="D116" s="15">
        <v>667.0</v>
      </c>
      <c r="E116" s="15">
        <v>11.0</v>
      </c>
      <c r="F116" s="15">
        <v>1.95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</row>
    <row r="117" ht="19.5" customHeight="1">
      <c r="A117" s="15"/>
      <c r="B117" s="15">
        <v>2.0</v>
      </c>
      <c r="C117" s="15">
        <v>1.0</v>
      </c>
      <c r="D117" s="15">
        <v>891.0</v>
      </c>
      <c r="E117" s="15">
        <v>11.0</v>
      </c>
      <c r="F117" s="15">
        <v>1.14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</row>
    <row r="118" ht="19.5" customHeight="1">
      <c r="A118" s="15"/>
      <c r="B118" s="15">
        <v>2.0</v>
      </c>
      <c r="C118" s="15">
        <v>1.0</v>
      </c>
      <c r="D118" s="15">
        <v>401.0</v>
      </c>
      <c r="E118" s="15">
        <v>5.0</v>
      </c>
      <c r="F118" s="15">
        <v>0.44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</row>
    <row r="119" ht="19.5" customHeight="1">
      <c r="A119" s="15"/>
      <c r="B119" s="15">
        <v>2.0</v>
      </c>
      <c r="C119" s="15">
        <v>1.0</v>
      </c>
      <c r="D119" s="15">
        <v>1230.0</v>
      </c>
      <c r="E119" s="15">
        <v>16.0</v>
      </c>
      <c r="F119" s="15">
        <v>1.95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</row>
    <row r="120" ht="19.5" customHeight="1">
      <c r="A120" s="15"/>
      <c r="B120" s="15">
        <v>2.0</v>
      </c>
      <c r="C120" s="15">
        <v>1.0</v>
      </c>
      <c r="D120" s="15">
        <v>1181.0</v>
      </c>
      <c r="E120" s="15">
        <v>13.0</v>
      </c>
      <c r="F120" s="15">
        <v>1.39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</row>
    <row r="121" ht="19.5" customHeight="1">
      <c r="A121" s="15"/>
      <c r="B121" s="15">
        <v>2.0</v>
      </c>
      <c r="C121" s="15">
        <v>1.0</v>
      </c>
      <c r="D121" s="15">
        <v>1291.0</v>
      </c>
      <c r="E121" s="15">
        <v>14.0</v>
      </c>
      <c r="F121" s="15">
        <v>1.26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</row>
    <row r="122" ht="19.5" customHeight="1">
      <c r="A122" s="15"/>
      <c r="B122" s="15">
        <v>2.0</v>
      </c>
      <c r="C122" s="15">
        <v>1.0</v>
      </c>
      <c r="D122" s="15">
        <v>374.0</v>
      </c>
      <c r="E122" s="15">
        <v>9.0</v>
      </c>
      <c r="F122" s="15">
        <v>1.27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</row>
    <row r="123" ht="19.5" customHeight="1">
      <c r="A123" s="15"/>
      <c r="B123" s="15">
        <v>2.0</v>
      </c>
      <c r="C123" s="15">
        <v>1.0</v>
      </c>
      <c r="D123" s="15">
        <v>981.0</v>
      </c>
      <c r="E123" s="15">
        <v>16.0</v>
      </c>
      <c r="F123" s="15">
        <v>1.12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</row>
    <row r="124" ht="19.5" customHeight="1">
      <c r="A124" s="15"/>
      <c r="B124" s="15">
        <v>2.0</v>
      </c>
      <c r="C124" s="15">
        <v>1.0</v>
      </c>
      <c r="D124" s="15">
        <v>702.0</v>
      </c>
      <c r="E124" s="15">
        <v>12.0</v>
      </c>
      <c r="F124" s="15">
        <v>2.07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</row>
    <row r="125" ht="19.5" customHeight="1">
      <c r="A125" s="15"/>
      <c r="B125" s="15">
        <v>2.0</v>
      </c>
      <c r="C125" s="15">
        <v>1.0</v>
      </c>
      <c r="D125" s="15">
        <v>1326.0</v>
      </c>
      <c r="E125" s="15">
        <v>12.0</v>
      </c>
      <c r="F125" s="15">
        <v>1.05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</row>
    <row r="126" ht="19.5" customHeight="1">
      <c r="A126" s="15"/>
      <c r="B126" s="15">
        <v>2.0</v>
      </c>
      <c r="C126" s="15">
        <v>1.0</v>
      </c>
      <c r="D126" s="15">
        <v>947.0</v>
      </c>
      <c r="E126" s="15">
        <v>12.0</v>
      </c>
      <c r="F126" s="15">
        <v>0.56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</row>
    <row r="127" ht="19.5" customHeight="1">
      <c r="A127" s="15"/>
      <c r="B127" s="15">
        <v>2.0</v>
      </c>
      <c r="C127" s="15">
        <v>1.0</v>
      </c>
      <c r="D127" s="15">
        <v>1642.0</v>
      </c>
      <c r="E127" s="15">
        <v>12.0</v>
      </c>
      <c r="F127" s="15">
        <v>0.62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ht="19.5" customHeight="1">
      <c r="A128" s="15"/>
      <c r="B128" s="15">
        <v>2.0</v>
      </c>
      <c r="C128" s="15">
        <v>1.0</v>
      </c>
      <c r="D128" s="15">
        <v>657.0</v>
      </c>
      <c r="E128" s="15">
        <v>2.0</v>
      </c>
      <c r="F128" s="15">
        <v>2.12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</row>
    <row r="129" ht="19.5" customHeight="1">
      <c r="A129" s="15"/>
      <c r="B129" s="15">
        <v>2.0</v>
      </c>
      <c r="C129" s="15">
        <v>1.0</v>
      </c>
      <c r="D129" s="15">
        <v>1199.0</v>
      </c>
      <c r="E129" s="15">
        <v>12.0</v>
      </c>
      <c r="F129" s="15">
        <v>2.79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ht="19.5" customHeight="1">
      <c r="A130" s="15"/>
      <c r="B130" s="15">
        <v>2.0</v>
      </c>
      <c r="C130" s="15">
        <v>1.0</v>
      </c>
      <c r="D130" s="15">
        <v>1186.0</v>
      </c>
      <c r="E130" s="15">
        <v>11.0</v>
      </c>
      <c r="F130" s="15">
        <v>1.37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</row>
    <row r="131" ht="19.5" customHeight="1">
      <c r="A131" s="15"/>
      <c r="B131" s="15">
        <v>2.0</v>
      </c>
      <c r="C131" s="15">
        <v>1.0</v>
      </c>
      <c r="D131" s="15">
        <v>1097.0</v>
      </c>
      <c r="E131" s="15">
        <v>23.0</v>
      </c>
      <c r="F131" s="15">
        <v>0.47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</row>
    <row r="132" ht="19.5" customHeight="1">
      <c r="A132" s="15"/>
      <c r="B132" s="15">
        <v>2.0</v>
      </c>
      <c r="C132" s="15">
        <v>1.0</v>
      </c>
      <c r="D132" s="15">
        <v>537.0</v>
      </c>
      <c r="E132" s="15">
        <v>5.0</v>
      </c>
      <c r="F132" s="15">
        <v>1.37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</row>
    <row r="133" ht="19.5" customHeight="1">
      <c r="A133" s="15"/>
      <c r="B133" s="15">
        <v>2.0</v>
      </c>
      <c r="C133" s="15">
        <v>1.0</v>
      </c>
      <c r="D133" s="15">
        <v>1287.0</v>
      </c>
      <c r="E133" s="15">
        <v>9.0</v>
      </c>
      <c r="F133" s="15">
        <v>1.49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</row>
    <row r="134" ht="19.5" customHeight="1">
      <c r="A134" s="15"/>
      <c r="B134" s="15">
        <v>2.0</v>
      </c>
      <c r="C134" s="15">
        <v>1.0</v>
      </c>
      <c r="D134" s="15">
        <v>1175.0</v>
      </c>
      <c r="E134" s="15">
        <v>9.0</v>
      </c>
      <c r="F134" s="15">
        <v>1.35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</row>
    <row r="135" ht="19.5" customHeight="1">
      <c r="A135" s="15"/>
      <c r="B135" s="15">
        <v>2.0</v>
      </c>
      <c r="C135" s="15">
        <v>1.0</v>
      </c>
      <c r="D135" s="15">
        <v>1090.0</v>
      </c>
      <c r="E135" s="15">
        <v>11.0</v>
      </c>
      <c r="F135" s="15">
        <v>1.05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</row>
    <row r="136" ht="19.5" customHeight="1">
      <c r="A136" s="15"/>
      <c r="B136" s="15">
        <v>2.0</v>
      </c>
      <c r="C136" s="15">
        <v>1.0</v>
      </c>
      <c r="D136" s="15">
        <v>1946.0</v>
      </c>
      <c r="E136" s="15">
        <v>18.0</v>
      </c>
      <c r="F136" s="15">
        <v>1.19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</row>
    <row r="137" ht="19.5" customHeight="1">
      <c r="A137" s="15"/>
      <c r="B137" s="15">
        <v>2.0</v>
      </c>
      <c r="C137" s="15">
        <v>1.0</v>
      </c>
      <c r="D137" s="15">
        <v>1272.0</v>
      </c>
      <c r="E137" s="15">
        <v>5.0</v>
      </c>
      <c r="F137" s="15">
        <v>1.7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</row>
    <row r="138" ht="19.5" customHeight="1">
      <c r="A138" s="15"/>
      <c r="B138" s="15">
        <v>2.0</v>
      </c>
      <c r="C138" s="15">
        <v>1.0</v>
      </c>
      <c r="D138" s="15">
        <v>732.0</v>
      </c>
      <c r="E138" s="15">
        <v>10.0</v>
      </c>
      <c r="F138" s="15">
        <v>0.88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</row>
    <row r="139" ht="19.5" customHeight="1">
      <c r="A139" s="15"/>
      <c r="B139" s="15">
        <v>2.0</v>
      </c>
      <c r="C139" s="15">
        <v>1.0</v>
      </c>
      <c r="D139" s="15">
        <v>572.0</v>
      </c>
      <c r="E139" s="15">
        <v>4.0</v>
      </c>
      <c r="F139" s="15">
        <v>1.55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</row>
    <row r="140" ht="19.5" customHeight="1">
      <c r="A140" s="15"/>
      <c r="B140" s="15">
        <v>2.0</v>
      </c>
      <c r="C140" s="15">
        <v>1.0</v>
      </c>
      <c r="D140" s="15">
        <v>1434.0</v>
      </c>
      <c r="E140" s="15">
        <v>14.0</v>
      </c>
      <c r="F140" s="15">
        <v>1.99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</row>
    <row r="141" ht="19.5" customHeight="1">
      <c r="A141" s="15"/>
      <c r="B141" s="15">
        <v>2.0</v>
      </c>
      <c r="C141" s="15">
        <v>1.0</v>
      </c>
      <c r="D141" s="15">
        <v>132.0</v>
      </c>
      <c r="E141" s="15">
        <v>16.0</v>
      </c>
      <c r="F141" s="15">
        <v>1.78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</row>
    <row r="142" ht="19.5" customHeight="1">
      <c r="A142" s="15"/>
      <c r="B142" s="15">
        <v>2.0</v>
      </c>
      <c r="C142" s="15">
        <v>1.0</v>
      </c>
      <c r="D142" s="15">
        <v>1158.0</v>
      </c>
      <c r="E142" s="15">
        <v>12.0</v>
      </c>
      <c r="F142" s="15">
        <v>0.96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</row>
    <row r="143" ht="19.5" customHeight="1">
      <c r="A143" s="15"/>
      <c r="B143" s="15">
        <v>2.0</v>
      </c>
      <c r="C143" s="15">
        <v>1.0</v>
      </c>
      <c r="D143" s="15">
        <v>1117.0</v>
      </c>
      <c r="E143" s="15">
        <v>18.0</v>
      </c>
      <c r="F143" s="15">
        <v>1.33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</row>
    <row r="144" ht="19.5" customHeight="1">
      <c r="A144" s="15"/>
      <c r="B144" s="15">
        <v>2.0</v>
      </c>
      <c r="C144" s="15">
        <v>1.0</v>
      </c>
      <c r="D144" s="15">
        <v>1780.0</v>
      </c>
      <c r="E144" s="15">
        <v>23.0</v>
      </c>
      <c r="F144" s="15">
        <v>1.13</v>
      </c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ht="19.5" customHeight="1">
      <c r="A145" s="15"/>
      <c r="B145" s="15">
        <v>2.0</v>
      </c>
      <c r="C145" s="15">
        <v>1.0</v>
      </c>
      <c r="D145" s="15">
        <v>817.0</v>
      </c>
      <c r="E145" s="15">
        <v>3.0</v>
      </c>
      <c r="F145" s="15">
        <v>2.1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</row>
    <row r="146" ht="19.5" customHeight="1">
      <c r="A146" s="15"/>
      <c r="B146" s="15">
        <v>2.0</v>
      </c>
      <c r="C146" s="15">
        <v>1.0</v>
      </c>
      <c r="D146" s="15">
        <v>1379.0</v>
      </c>
      <c r="E146" s="15">
        <v>14.0</v>
      </c>
      <c r="F146" s="15">
        <v>0.68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</row>
    <row r="147" ht="19.5" customHeight="1">
      <c r="A147" s="15"/>
      <c r="B147" s="15">
        <v>2.0</v>
      </c>
      <c r="C147" s="15">
        <v>1.0</v>
      </c>
      <c r="D147" s="15">
        <v>886.0</v>
      </c>
      <c r="E147" s="15">
        <v>16.0</v>
      </c>
      <c r="F147" s="15">
        <v>1.9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</row>
    <row r="148" ht="19.5" customHeight="1">
      <c r="A148" s="15"/>
      <c r="B148" s="15">
        <v>2.0</v>
      </c>
      <c r="C148" s="15">
        <v>1.0</v>
      </c>
      <c r="D148" s="15">
        <v>1307.0</v>
      </c>
      <c r="E148" s="15">
        <v>10.0</v>
      </c>
      <c r="F148" s="15">
        <v>0.53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</row>
    <row r="149" ht="19.5" customHeight="1">
      <c r="A149" s="15"/>
      <c r="B149" s="15">
        <v>2.0</v>
      </c>
      <c r="C149" s="15">
        <v>1.0</v>
      </c>
      <c r="D149" s="15">
        <v>554.0</v>
      </c>
      <c r="E149" s="15">
        <v>13.0</v>
      </c>
      <c r="F149" s="15">
        <v>0.82</v>
      </c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</row>
    <row r="150" ht="19.5" customHeight="1">
      <c r="A150" s="15"/>
      <c r="B150" s="15">
        <v>2.0</v>
      </c>
      <c r="C150" s="15">
        <v>1.0</v>
      </c>
      <c r="D150" s="15">
        <v>1698.0</v>
      </c>
      <c r="E150" s="15">
        <v>13.0</v>
      </c>
      <c r="F150" s="15">
        <v>1.7</v>
      </c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</row>
    <row r="151" ht="19.5" customHeight="1">
      <c r="A151" s="15"/>
      <c r="B151" s="15">
        <v>2.0</v>
      </c>
      <c r="C151" s="15">
        <v>1.0</v>
      </c>
      <c r="D151" s="15">
        <v>1319.0</v>
      </c>
      <c r="E151" s="15">
        <v>18.0</v>
      </c>
      <c r="F151" s="15">
        <v>0.92</v>
      </c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</row>
    <row r="152" ht="19.5" customHeight="1">
      <c r="A152" s="15"/>
      <c r="B152" s="15">
        <v>2.0</v>
      </c>
      <c r="C152" s="15">
        <v>1.0</v>
      </c>
      <c r="D152" s="15">
        <v>535.0</v>
      </c>
      <c r="E152" s="15">
        <v>14.0</v>
      </c>
      <c r="F152" s="15">
        <v>0.23</v>
      </c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</row>
    <row r="153" ht="19.5" customHeight="1">
      <c r="A153" s="15"/>
      <c r="B153" s="15">
        <v>2.0</v>
      </c>
      <c r="C153" s="15">
        <v>1.0</v>
      </c>
      <c r="D153" s="15">
        <v>1430.0</v>
      </c>
      <c r="E153" s="15">
        <v>1.0</v>
      </c>
      <c r="F153" s="15">
        <v>2.33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</row>
    <row r="154" ht="19.5" customHeight="1">
      <c r="A154" s="15"/>
      <c r="B154" s="15">
        <v>2.0</v>
      </c>
      <c r="C154" s="15">
        <v>1.0</v>
      </c>
      <c r="D154" s="15">
        <v>656.0</v>
      </c>
      <c r="E154" s="15">
        <v>14.0</v>
      </c>
      <c r="F154" s="15">
        <v>1.7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</row>
    <row r="155" ht="19.5" customHeight="1">
      <c r="A155" s="15"/>
      <c r="B155" s="15">
        <v>2.0</v>
      </c>
      <c r="C155" s="15">
        <v>1.0</v>
      </c>
      <c r="D155" s="15">
        <v>1121.0</v>
      </c>
      <c r="E155" s="15">
        <v>8.0</v>
      </c>
      <c r="F155" s="15">
        <v>1.04</v>
      </c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</row>
    <row r="156" ht="19.5" customHeight="1">
      <c r="A156" s="15"/>
      <c r="B156" s="15">
        <v>2.0</v>
      </c>
      <c r="C156" s="15">
        <v>1.0</v>
      </c>
      <c r="D156" s="15">
        <v>721.0</v>
      </c>
      <c r="E156" s="15">
        <v>25.0</v>
      </c>
      <c r="F156" s="15">
        <v>1.02</v>
      </c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</row>
    <row r="157" ht="19.5" customHeight="1">
      <c r="A157" s="15"/>
      <c r="B157" s="15">
        <v>2.0</v>
      </c>
      <c r="C157" s="15">
        <v>1.0</v>
      </c>
      <c r="D157" s="15">
        <v>1086.0</v>
      </c>
      <c r="E157" s="15">
        <v>18.0</v>
      </c>
      <c r="F157" s="15">
        <v>0.5</v>
      </c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</row>
    <row r="158" ht="19.5" customHeight="1">
      <c r="A158" s="15"/>
      <c r="B158" s="15">
        <v>2.0</v>
      </c>
      <c r="C158" s="15">
        <v>1.0</v>
      </c>
      <c r="D158" s="15">
        <v>2154.0</v>
      </c>
      <c r="E158" s="15">
        <v>3.0</v>
      </c>
      <c r="F158" s="15">
        <v>0.91</v>
      </c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</row>
    <row r="159" ht="19.5" customHeight="1">
      <c r="A159" s="15"/>
      <c r="B159" s="15">
        <v>2.0</v>
      </c>
      <c r="C159" s="15">
        <v>1.0</v>
      </c>
      <c r="D159" s="15">
        <v>933.0</v>
      </c>
      <c r="E159" s="15">
        <v>10.0</v>
      </c>
      <c r="F159" s="15">
        <v>1.83</v>
      </c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ht="19.5" customHeight="1">
      <c r="A160" s="15"/>
      <c r="B160" s="15">
        <v>2.0</v>
      </c>
      <c r="C160" s="15">
        <v>1.0</v>
      </c>
      <c r="D160" s="15">
        <v>1182.0</v>
      </c>
      <c r="E160" s="15">
        <v>9.0</v>
      </c>
      <c r="F160" s="15">
        <v>1.99</v>
      </c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</row>
    <row r="161" ht="19.5" customHeight="1">
      <c r="A161" s="15"/>
      <c r="B161" s="15">
        <v>2.0</v>
      </c>
      <c r="C161" s="15">
        <v>1.0</v>
      </c>
      <c r="D161" s="15">
        <v>1136.0</v>
      </c>
      <c r="E161" s="15">
        <v>12.0</v>
      </c>
      <c r="F161" s="15">
        <v>0.85</v>
      </c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</row>
    <row r="162" ht="19.5" customHeight="1">
      <c r="A162" s="15"/>
      <c r="B162" s="15">
        <v>2.0</v>
      </c>
      <c r="C162" s="15">
        <v>1.0</v>
      </c>
      <c r="D162" s="15">
        <v>1209.0</v>
      </c>
      <c r="E162" s="15">
        <v>15.0</v>
      </c>
      <c r="F162" s="15">
        <v>2.0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</row>
    <row r="163" ht="19.5" customHeight="1">
      <c r="A163" s="15"/>
      <c r="B163" s="15">
        <v>2.0</v>
      </c>
      <c r="C163" s="15">
        <v>1.0</v>
      </c>
      <c r="D163" s="15">
        <v>1824.0</v>
      </c>
      <c r="E163" s="15">
        <v>8.0</v>
      </c>
      <c r="F163" s="15">
        <v>0.75</v>
      </c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</row>
    <row r="164" ht="19.5" customHeight="1">
      <c r="A164" s="15"/>
      <c r="B164" s="15">
        <v>2.0</v>
      </c>
      <c r="C164" s="15">
        <v>1.0</v>
      </c>
      <c r="D164" s="15">
        <v>861.0</v>
      </c>
      <c r="E164" s="15">
        <v>24.0</v>
      </c>
      <c r="F164" s="15">
        <v>2.04</v>
      </c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</row>
    <row r="165" ht="19.5" customHeight="1">
      <c r="A165" s="15"/>
      <c r="B165" s="15">
        <v>2.0</v>
      </c>
      <c r="C165" s="15">
        <v>1.0</v>
      </c>
      <c r="D165" s="15">
        <v>1325.0</v>
      </c>
      <c r="E165" s="15">
        <v>12.0</v>
      </c>
      <c r="F165" s="15">
        <v>0.89</v>
      </c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</row>
    <row r="166" ht="19.5" customHeight="1">
      <c r="A166" s="15"/>
      <c r="B166" s="15">
        <v>2.0</v>
      </c>
      <c r="C166" s="15">
        <v>1.0</v>
      </c>
      <c r="D166" s="15">
        <v>1228.0</v>
      </c>
      <c r="E166" s="15">
        <v>17.0</v>
      </c>
      <c r="F166" s="15">
        <v>0.87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</row>
    <row r="167" ht="19.5" customHeight="1">
      <c r="A167" s="15"/>
      <c r="B167" s="15">
        <v>2.0</v>
      </c>
      <c r="C167" s="15">
        <v>1.0</v>
      </c>
      <c r="D167" s="15">
        <v>1265.0</v>
      </c>
      <c r="E167" s="15">
        <v>14.0</v>
      </c>
      <c r="F167" s="15">
        <v>0.98</v>
      </c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</row>
    <row r="168" ht="19.5" customHeight="1">
      <c r="A168" s="15"/>
      <c r="B168" s="15">
        <v>2.0</v>
      </c>
      <c r="C168" s="15">
        <v>1.0</v>
      </c>
      <c r="D168" s="15">
        <v>665.0</v>
      </c>
      <c r="E168" s="15">
        <v>11.0</v>
      </c>
      <c r="F168" s="15">
        <v>1.69</v>
      </c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</row>
    <row r="169" ht="19.5" customHeight="1">
      <c r="A169" s="15"/>
      <c r="B169" s="15">
        <v>2.0</v>
      </c>
      <c r="C169" s="15">
        <v>1.0</v>
      </c>
      <c r="D169" s="15">
        <v>895.0</v>
      </c>
      <c r="E169" s="15">
        <v>17.0</v>
      </c>
      <c r="F169" s="15">
        <v>0.95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</row>
    <row r="170" ht="19.5" customHeight="1">
      <c r="A170" s="15"/>
      <c r="B170" s="15">
        <v>2.0</v>
      </c>
      <c r="C170" s="15">
        <v>1.0</v>
      </c>
      <c r="D170" s="15">
        <v>1618.0</v>
      </c>
      <c r="E170" s="15">
        <v>20.0</v>
      </c>
      <c r="F170" s="15">
        <v>0.19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</row>
    <row r="171" ht="19.5" customHeight="1">
      <c r="A171" s="15"/>
      <c r="B171" s="15">
        <v>2.0</v>
      </c>
      <c r="C171" s="15">
        <v>1.0</v>
      </c>
      <c r="D171" s="15">
        <v>1288.0</v>
      </c>
      <c r="E171" s="15">
        <v>9.0</v>
      </c>
      <c r="F171" s="15">
        <v>0.69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</row>
    <row r="172" ht="19.5" customHeight="1">
      <c r="A172" s="15"/>
      <c r="B172" s="15">
        <v>2.0</v>
      </c>
      <c r="C172" s="15">
        <v>1.0</v>
      </c>
      <c r="D172" s="15">
        <v>1273.0</v>
      </c>
      <c r="E172" s="15">
        <v>10.0</v>
      </c>
      <c r="F172" s="15">
        <v>2.0</v>
      </c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</row>
    <row r="173" ht="19.5" customHeight="1">
      <c r="A173" s="15"/>
      <c r="B173" s="15">
        <v>2.0</v>
      </c>
      <c r="C173" s="15">
        <v>1.0</v>
      </c>
      <c r="D173" s="15">
        <v>1074.0</v>
      </c>
      <c r="E173" s="15">
        <v>18.0</v>
      </c>
      <c r="F173" s="15">
        <v>1.54</v>
      </c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</row>
    <row r="174" ht="19.5" customHeight="1">
      <c r="A174" s="15"/>
      <c r="B174" s="15">
        <v>2.0</v>
      </c>
      <c r="C174" s="15">
        <v>1.0</v>
      </c>
      <c r="D174" s="15">
        <v>1295.0</v>
      </c>
      <c r="E174" s="15">
        <v>12.0</v>
      </c>
      <c r="F174" s="15">
        <v>1.12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</row>
    <row r="175" ht="19.5" customHeight="1">
      <c r="A175" s="15"/>
      <c r="B175" s="15">
        <v>2.0</v>
      </c>
      <c r="C175" s="15">
        <v>1.0</v>
      </c>
      <c r="D175" s="15">
        <v>947.0</v>
      </c>
      <c r="E175" s="15">
        <v>15.0</v>
      </c>
      <c r="F175" s="15">
        <v>1.9</v>
      </c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</row>
    <row r="176" ht="19.5" customHeight="1">
      <c r="A176" s="15"/>
      <c r="B176" s="15">
        <v>2.0</v>
      </c>
      <c r="C176" s="15">
        <v>1.0</v>
      </c>
      <c r="D176" s="15">
        <v>1393.0</v>
      </c>
      <c r="E176" s="15">
        <v>6.0</v>
      </c>
      <c r="F176" s="15">
        <v>1.04</v>
      </c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</row>
    <row r="177" ht="19.5" customHeight="1">
      <c r="A177" s="15"/>
      <c r="B177" s="15">
        <v>2.0</v>
      </c>
      <c r="C177" s="15">
        <v>1.0</v>
      </c>
      <c r="D177" s="15">
        <v>1092.0</v>
      </c>
      <c r="E177" s="15">
        <v>16.0</v>
      </c>
      <c r="F177" s="15">
        <v>0.72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</row>
    <row r="178" ht="19.5" customHeight="1">
      <c r="A178" s="15"/>
      <c r="B178" s="15">
        <v>2.0</v>
      </c>
      <c r="C178" s="15">
        <v>1.0</v>
      </c>
      <c r="D178" s="15">
        <v>732.0</v>
      </c>
      <c r="E178" s="15">
        <v>5.0</v>
      </c>
      <c r="F178" s="15">
        <v>2.07</v>
      </c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</row>
    <row r="179" ht="19.5" customHeight="1">
      <c r="A179" s="15"/>
      <c r="B179" s="15">
        <v>2.0</v>
      </c>
      <c r="C179" s="15">
        <v>1.0</v>
      </c>
      <c r="D179" s="15">
        <v>991.0</v>
      </c>
      <c r="E179" s="15">
        <v>22.0</v>
      </c>
      <c r="F179" s="15">
        <v>0.7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</row>
    <row r="180" ht="19.5" customHeight="1">
      <c r="A180" s="15"/>
      <c r="B180" s="15">
        <v>2.0</v>
      </c>
      <c r="C180" s="15">
        <v>1.0</v>
      </c>
      <c r="D180" s="15">
        <v>973.0</v>
      </c>
      <c r="E180" s="15">
        <v>18.0</v>
      </c>
      <c r="F180" s="15">
        <v>1.91</v>
      </c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</row>
    <row r="181" ht="19.5" customHeight="1">
      <c r="A181" s="15"/>
      <c r="B181" s="15">
        <v>2.0</v>
      </c>
      <c r="C181" s="15">
        <v>1.0</v>
      </c>
      <c r="D181" s="15">
        <v>1113.0</v>
      </c>
      <c r="E181" s="15">
        <v>18.0</v>
      </c>
      <c r="F181" s="15">
        <v>1.55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</row>
    <row r="182" ht="19.5" customHeight="1">
      <c r="A182" s="15"/>
      <c r="B182" s="15">
        <v>2.0</v>
      </c>
      <c r="C182" s="15">
        <v>1.0</v>
      </c>
      <c r="D182" s="15">
        <v>2021.0</v>
      </c>
      <c r="E182" s="15">
        <v>9.0</v>
      </c>
      <c r="F182" s="15">
        <v>0.74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</row>
    <row r="183" ht="19.5" customHeight="1">
      <c r="A183" s="15"/>
      <c r="B183" s="15">
        <v>2.0</v>
      </c>
      <c r="C183" s="15">
        <v>1.0</v>
      </c>
      <c r="D183" s="15">
        <v>1156.0</v>
      </c>
      <c r="E183" s="15">
        <v>14.0</v>
      </c>
      <c r="F183" s="15">
        <v>1.69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</row>
    <row r="184" ht="19.5" customHeight="1">
      <c r="A184" s="15"/>
      <c r="B184" s="15">
        <v>2.0</v>
      </c>
      <c r="C184" s="15">
        <v>1.0</v>
      </c>
      <c r="D184" s="15">
        <v>1200.0</v>
      </c>
      <c r="E184" s="15">
        <v>18.0</v>
      </c>
      <c r="F184" s="15">
        <v>1.05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</row>
    <row r="185" ht="19.5" customHeight="1">
      <c r="A185" s="15"/>
      <c r="B185" s="15">
        <v>2.0</v>
      </c>
      <c r="C185" s="15">
        <v>1.0</v>
      </c>
      <c r="D185" s="15">
        <v>1048.0</v>
      </c>
      <c r="E185" s="15">
        <v>14.0</v>
      </c>
      <c r="F185" s="15">
        <v>2.06</v>
      </c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</row>
    <row r="186" ht="19.5" customHeight="1">
      <c r="A186" s="15"/>
      <c r="B186" s="15">
        <v>2.0</v>
      </c>
      <c r="C186" s="15">
        <v>1.0</v>
      </c>
      <c r="D186" s="15">
        <v>772.0</v>
      </c>
      <c r="E186" s="15">
        <v>11.0</v>
      </c>
      <c r="F186" s="15">
        <v>1.03</v>
      </c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</row>
    <row r="187" ht="19.5" customHeight="1">
      <c r="A187" s="15"/>
      <c r="B187" s="15">
        <v>2.0</v>
      </c>
      <c r="C187" s="15">
        <v>1.0</v>
      </c>
      <c r="D187" s="15">
        <v>1025.0</v>
      </c>
      <c r="E187" s="15">
        <v>1.0</v>
      </c>
      <c r="F187" s="15">
        <v>0.69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</row>
    <row r="188" ht="19.5" customHeight="1">
      <c r="A188" s="15"/>
      <c r="B188" s="15">
        <v>2.0</v>
      </c>
      <c r="C188" s="15">
        <v>1.0</v>
      </c>
      <c r="D188" s="15">
        <v>934.0</v>
      </c>
      <c r="E188" s="15">
        <v>15.0</v>
      </c>
      <c r="F188" s="15">
        <v>1.21</v>
      </c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</row>
    <row r="189" ht="19.5" customHeight="1">
      <c r="A189" s="15"/>
      <c r="B189" s="15">
        <v>2.0</v>
      </c>
      <c r="C189" s="15">
        <v>1.0</v>
      </c>
      <c r="D189" s="15">
        <v>1232.0</v>
      </c>
      <c r="E189" s="15">
        <v>10.0</v>
      </c>
      <c r="F189" s="15">
        <v>0.7</v>
      </c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</row>
    <row r="190" ht="19.5" customHeight="1">
      <c r="A190" s="15"/>
      <c r="B190" s="15">
        <v>2.0</v>
      </c>
      <c r="C190" s="15">
        <v>1.0</v>
      </c>
      <c r="D190" s="15">
        <v>1239.0</v>
      </c>
      <c r="E190" s="15">
        <v>8.0</v>
      </c>
      <c r="F190" s="15">
        <v>2.2</v>
      </c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</row>
    <row r="191" ht="19.5" customHeight="1">
      <c r="A191" s="15"/>
      <c r="B191" s="15">
        <v>2.0</v>
      </c>
      <c r="C191" s="15">
        <v>1.0</v>
      </c>
      <c r="D191" s="15">
        <v>1853.0</v>
      </c>
      <c r="E191" s="15">
        <v>16.0</v>
      </c>
      <c r="F191" s="15">
        <v>0.97</v>
      </c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</row>
    <row r="192" ht="19.5" customHeight="1">
      <c r="A192" s="15"/>
      <c r="B192" s="15">
        <v>2.0</v>
      </c>
      <c r="C192" s="15">
        <v>1.0</v>
      </c>
      <c r="D192" s="15">
        <v>1485.0</v>
      </c>
      <c r="E192" s="15">
        <v>8.0</v>
      </c>
      <c r="F192" s="15">
        <v>1.25</v>
      </c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</row>
    <row r="193" ht="19.5" customHeight="1">
      <c r="A193" s="15"/>
      <c r="B193" s="15">
        <v>2.0</v>
      </c>
      <c r="C193" s="15">
        <v>1.0</v>
      </c>
      <c r="D193" s="15">
        <v>1137.0</v>
      </c>
      <c r="E193" s="15">
        <v>4.0</v>
      </c>
      <c r="F193" s="15">
        <v>1.05</v>
      </c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</row>
    <row r="194" ht="19.5" customHeight="1">
      <c r="A194" s="15"/>
      <c r="B194" s="15">
        <v>2.0</v>
      </c>
      <c r="C194" s="15">
        <v>1.0</v>
      </c>
      <c r="D194" s="15">
        <v>954.0</v>
      </c>
      <c r="E194" s="15">
        <v>14.0</v>
      </c>
      <c r="F194" s="15">
        <v>1.99</v>
      </c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</row>
    <row r="195" ht="19.5" customHeight="1">
      <c r="A195" s="15"/>
      <c r="B195" s="15">
        <v>2.0</v>
      </c>
      <c r="C195" s="15">
        <v>1.0</v>
      </c>
      <c r="D195" s="15">
        <v>1435.0</v>
      </c>
      <c r="E195" s="15">
        <v>9.0</v>
      </c>
      <c r="F195" s="15">
        <v>1.52</v>
      </c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</row>
    <row r="196" ht="19.5" customHeight="1">
      <c r="A196" s="15"/>
      <c r="B196" s="15">
        <v>2.0</v>
      </c>
      <c r="C196" s="15">
        <v>1.0</v>
      </c>
      <c r="D196" s="15">
        <v>1438.0</v>
      </c>
      <c r="E196" s="15">
        <v>24.0</v>
      </c>
      <c r="F196" s="15">
        <v>0.26</v>
      </c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</row>
    <row r="197" ht="19.5" customHeight="1">
      <c r="A197" s="15"/>
      <c r="B197" s="15">
        <v>2.0</v>
      </c>
      <c r="C197" s="15">
        <v>1.0</v>
      </c>
      <c r="D197" s="15">
        <v>1317.0</v>
      </c>
      <c r="E197" s="15">
        <v>10.0</v>
      </c>
      <c r="F197" s="15">
        <v>2.36</v>
      </c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</row>
    <row r="198" ht="19.5" customHeight="1">
      <c r="A198" s="15"/>
      <c r="B198" s="15">
        <v>2.0</v>
      </c>
      <c r="C198" s="15">
        <v>1.0</v>
      </c>
      <c r="D198" s="15">
        <v>924.0</v>
      </c>
      <c r="E198" s="15">
        <v>3.0</v>
      </c>
      <c r="F198" s="15">
        <v>1.86</v>
      </c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</row>
    <row r="199" ht="19.5" customHeight="1">
      <c r="A199" s="15"/>
      <c r="B199" s="15">
        <v>2.0</v>
      </c>
      <c r="C199" s="15">
        <v>1.0</v>
      </c>
      <c r="D199" s="15">
        <v>596.0</v>
      </c>
      <c r="E199" s="15">
        <v>15.0</v>
      </c>
      <c r="F199" s="15">
        <v>1.33</v>
      </c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</row>
    <row r="200" ht="19.5" customHeight="1">
      <c r="A200" s="15"/>
      <c r="B200" s="15">
        <v>2.0</v>
      </c>
      <c r="C200" s="15">
        <v>1.0</v>
      </c>
      <c r="D200" s="15">
        <v>567.0</v>
      </c>
      <c r="E200" s="15">
        <v>8.0</v>
      </c>
      <c r="F200" s="15">
        <v>1.73</v>
      </c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</row>
    <row r="201" ht="19.5" customHeight="1">
      <c r="A201" s="15"/>
      <c r="B201" s="15">
        <v>2.0</v>
      </c>
      <c r="C201" s="15">
        <v>1.0</v>
      </c>
      <c r="D201" s="15">
        <v>1061.0</v>
      </c>
      <c r="E201" s="15">
        <v>10.0</v>
      </c>
      <c r="F201" s="15">
        <v>1.68</v>
      </c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</row>
    <row r="202" ht="19.5" customHeight="1">
      <c r="A202" s="15"/>
      <c r="B202" s="15">
        <v>2.0</v>
      </c>
      <c r="C202" s="15">
        <v>1.0</v>
      </c>
      <c r="D202" s="15">
        <v>300.0</v>
      </c>
      <c r="E202" s="15">
        <v>8.0</v>
      </c>
      <c r="F202" s="15">
        <v>1.54</v>
      </c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</row>
    <row r="203" ht="19.5" customHeight="1">
      <c r="A203" s="15"/>
      <c r="B203" s="15">
        <v>2.0</v>
      </c>
      <c r="C203" s="15">
        <v>1.0</v>
      </c>
      <c r="D203" s="15">
        <v>980.0</v>
      </c>
      <c r="E203" s="15">
        <v>12.0</v>
      </c>
      <c r="F203" s="15">
        <v>0.86</v>
      </c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</row>
    <row r="204" ht="19.5" customHeight="1">
      <c r="A204" s="15"/>
      <c r="B204" s="15">
        <v>2.0</v>
      </c>
      <c r="C204" s="15">
        <v>1.0</v>
      </c>
      <c r="D204" s="15">
        <v>1291.0</v>
      </c>
      <c r="E204" s="15">
        <v>15.0</v>
      </c>
      <c r="F204" s="15">
        <v>1.87</v>
      </c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</row>
    <row r="205" ht="19.5" customHeight="1">
      <c r="A205" s="15"/>
      <c r="B205" s="15">
        <v>2.0</v>
      </c>
      <c r="C205" s="15">
        <v>1.0</v>
      </c>
      <c r="D205" s="15">
        <v>853.0</v>
      </c>
      <c r="E205" s="15">
        <v>3.0</v>
      </c>
      <c r="F205" s="15">
        <v>1.77</v>
      </c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</row>
    <row r="206" ht="19.5" customHeight="1">
      <c r="A206" s="15"/>
      <c r="B206" s="15">
        <v>2.0</v>
      </c>
      <c r="C206" s="15">
        <v>1.0</v>
      </c>
      <c r="D206" s="15">
        <v>1240.0</v>
      </c>
      <c r="E206" s="15">
        <v>21.0</v>
      </c>
      <c r="F206" s="15">
        <v>0.81</v>
      </c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</row>
    <row r="207" ht="19.5" customHeight="1">
      <c r="A207" s="15"/>
      <c r="B207" s="15">
        <v>2.0</v>
      </c>
      <c r="C207" s="15">
        <v>1.0</v>
      </c>
      <c r="D207" s="15">
        <v>909.0</v>
      </c>
      <c r="E207" s="15">
        <v>27.0</v>
      </c>
      <c r="F207" s="15">
        <v>0.55</v>
      </c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</row>
    <row r="208" ht="19.5" customHeight="1">
      <c r="A208" s="15"/>
      <c r="B208" s="15">
        <v>2.0</v>
      </c>
      <c r="C208" s="15">
        <v>1.0</v>
      </c>
      <c r="D208" s="15">
        <v>1183.0</v>
      </c>
      <c r="E208" s="15">
        <v>20.0</v>
      </c>
      <c r="F208" s="15">
        <v>1.38</v>
      </c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</row>
    <row r="209" ht="19.5" customHeight="1">
      <c r="A209" s="15"/>
      <c r="B209" s="15">
        <v>2.0</v>
      </c>
      <c r="C209" s="15">
        <v>1.0</v>
      </c>
      <c r="D209" s="15">
        <v>1316.0</v>
      </c>
      <c r="E209" s="15">
        <v>12.0</v>
      </c>
      <c r="F209" s="15">
        <v>0.66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</row>
    <row r="210" ht="19.5" customHeight="1">
      <c r="A210" s="15"/>
      <c r="B210" s="15">
        <v>2.0</v>
      </c>
      <c r="C210" s="15">
        <v>1.0</v>
      </c>
      <c r="D210" s="15">
        <v>808.0</v>
      </c>
      <c r="E210" s="15">
        <v>5.0</v>
      </c>
      <c r="F210" s="15">
        <v>1.47</v>
      </c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</row>
    <row r="211" ht="19.5" customHeight="1">
      <c r="A211" s="15"/>
      <c r="B211" s="15">
        <v>2.0</v>
      </c>
      <c r="C211" s="15">
        <v>1.0</v>
      </c>
      <c r="D211" s="15">
        <v>1530.0</v>
      </c>
      <c r="E211" s="15">
        <v>18.0</v>
      </c>
      <c r="F211" s="15">
        <v>0.0</v>
      </c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</row>
    <row r="212" ht="19.5" customHeight="1">
      <c r="A212" s="15"/>
      <c r="B212" s="15">
        <v>2.0</v>
      </c>
      <c r="C212" s="15">
        <v>1.0</v>
      </c>
      <c r="D212" s="15">
        <v>1052.0</v>
      </c>
      <c r="E212" s="15">
        <v>15.0</v>
      </c>
      <c r="F212" s="15">
        <v>1.76</v>
      </c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</row>
    <row r="213" ht="19.5" customHeight="1">
      <c r="A213" s="15"/>
      <c r="B213" s="15">
        <v>2.0</v>
      </c>
      <c r="C213" s="15">
        <v>1.0</v>
      </c>
      <c r="D213" s="15">
        <v>979.0</v>
      </c>
      <c r="E213" s="15">
        <v>18.0</v>
      </c>
      <c r="F213" s="15">
        <v>2.75</v>
      </c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</row>
    <row r="214" ht="19.5" customHeight="1">
      <c r="A214" s="15"/>
      <c r="B214" s="15">
        <v>2.0</v>
      </c>
      <c r="C214" s="15">
        <v>1.0</v>
      </c>
      <c r="D214" s="15">
        <v>984.0</v>
      </c>
      <c r="E214" s="15">
        <v>20.0</v>
      </c>
      <c r="F214" s="15">
        <v>2.61</v>
      </c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</row>
    <row r="215" ht="19.5" customHeight="1">
      <c r="A215" s="15"/>
      <c r="B215" s="15">
        <v>2.0</v>
      </c>
      <c r="C215" s="15">
        <v>1.0</v>
      </c>
      <c r="D215" s="15">
        <v>1194.0</v>
      </c>
      <c r="E215" s="15">
        <v>8.0</v>
      </c>
      <c r="F215" s="15">
        <v>1.66</v>
      </c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</row>
    <row r="216" ht="19.5" customHeight="1">
      <c r="A216" s="15"/>
      <c r="B216" s="15">
        <v>2.0</v>
      </c>
      <c r="C216" s="15">
        <v>1.0</v>
      </c>
      <c r="D216" s="15">
        <v>726.0</v>
      </c>
      <c r="E216" s="15">
        <v>16.0</v>
      </c>
      <c r="F216" s="15">
        <v>0.9</v>
      </c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</row>
    <row r="217" ht="19.5" customHeight="1">
      <c r="A217" s="15"/>
      <c r="B217" s="15">
        <v>2.0</v>
      </c>
      <c r="C217" s="15">
        <v>1.0</v>
      </c>
      <c r="D217" s="15">
        <v>1047.0</v>
      </c>
      <c r="E217" s="15">
        <v>12.0</v>
      </c>
      <c r="F217" s="15">
        <v>0.37</v>
      </c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</row>
    <row r="218" ht="19.5" customHeight="1">
      <c r="A218" s="15"/>
      <c r="B218" s="15">
        <v>2.0</v>
      </c>
      <c r="C218" s="15">
        <v>1.0</v>
      </c>
      <c r="D218" s="15">
        <v>559.0</v>
      </c>
      <c r="E218" s="15">
        <v>12.0</v>
      </c>
      <c r="F218" s="15">
        <v>1.03</v>
      </c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</row>
    <row r="219" ht="19.5" customHeight="1">
      <c r="A219" s="15"/>
      <c r="B219" s="15">
        <v>2.0</v>
      </c>
      <c r="C219" s="15">
        <v>1.0</v>
      </c>
      <c r="D219" s="15">
        <v>754.0</v>
      </c>
      <c r="E219" s="15">
        <v>6.0</v>
      </c>
      <c r="F219" s="15">
        <v>1.67</v>
      </c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</row>
    <row r="220" ht="19.5" customHeight="1">
      <c r="A220" s="15"/>
      <c r="B220" s="15">
        <v>2.0</v>
      </c>
      <c r="C220" s="15">
        <v>1.0</v>
      </c>
      <c r="D220" s="15">
        <v>1695.0</v>
      </c>
      <c r="E220" s="15">
        <v>13.0</v>
      </c>
      <c r="F220" s="15">
        <v>1.8</v>
      </c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</row>
    <row r="221" ht="19.5" customHeight="1">
      <c r="A221" s="15"/>
      <c r="B221" s="15">
        <v>2.0</v>
      </c>
      <c r="C221" s="15">
        <v>1.0</v>
      </c>
      <c r="D221" s="15">
        <v>1072.0</v>
      </c>
      <c r="E221" s="15">
        <v>11.0</v>
      </c>
      <c r="F221" s="15">
        <v>0.88</v>
      </c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</row>
    <row r="222" ht="19.5" customHeight="1">
      <c r="A222" s="15"/>
      <c r="B222" s="15">
        <v>2.0</v>
      </c>
      <c r="C222" s="15">
        <v>1.0</v>
      </c>
      <c r="D222" s="15">
        <v>1097.0</v>
      </c>
      <c r="E222" s="15">
        <v>4.0</v>
      </c>
      <c r="F222" s="15">
        <v>2.11</v>
      </c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</row>
    <row r="223" ht="19.5" customHeight="1">
      <c r="A223" s="15"/>
      <c r="B223" s="15">
        <v>2.0</v>
      </c>
      <c r="C223" s="15">
        <v>1.0</v>
      </c>
      <c r="D223" s="15">
        <v>602.0</v>
      </c>
      <c r="E223" s="15">
        <v>7.0</v>
      </c>
      <c r="F223" s="15">
        <v>1.9</v>
      </c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</row>
    <row r="224" ht="19.5" customHeight="1">
      <c r="A224" s="15"/>
      <c r="B224" s="15">
        <v>2.0</v>
      </c>
      <c r="C224" s="15">
        <v>1.0</v>
      </c>
      <c r="D224" s="15">
        <v>1026.0</v>
      </c>
      <c r="E224" s="15">
        <v>11.0</v>
      </c>
      <c r="F224" s="15">
        <v>1.55</v>
      </c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</row>
    <row r="225" ht="19.5" customHeight="1">
      <c r="A225" s="15"/>
      <c r="B225" s="15">
        <v>2.0</v>
      </c>
      <c r="C225" s="15">
        <v>1.0</v>
      </c>
      <c r="D225" s="15">
        <v>1549.0</v>
      </c>
      <c r="E225" s="15">
        <v>5.0</v>
      </c>
      <c r="F225" s="15">
        <v>0.88</v>
      </c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</row>
    <row r="226" ht="19.5" customHeight="1">
      <c r="A226" s="15"/>
      <c r="B226" s="15">
        <v>2.0</v>
      </c>
      <c r="C226" s="15">
        <v>1.0</v>
      </c>
      <c r="D226" s="15">
        <v>1446.0</v>
      </c>
      <c r="E226" s="15">
        <v>22.0</v>
      </c>
      <c r="F226" s="15">
        <v>1.78</v>
      </c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</row>
    <row r="227" ht="19.5" customHeight="1">
      <c r="A227" s="15"/>
      <c r="B227" s="15">
        <v>2.0</v>
      </c>
      <c r="C227" s="15">
        <v>1.0</v>
      </c>
      <c r="D227" s="15">
        <v>1265.0</v>
      </c>
      <c r="E227" s="15">
        <v>19.0</v>
      </c>
      <c r="F227" s="15">
        <v>1.25</v>
      </c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</row>
    <row r="228" ht="19.5" customHeight="1">
      <c r="A228" s="15"/>
      <c r="B228" s="15">
        <v>2.0</v>
      </c>
      <c r="C228" s="15">
        <v>1.0</v>
      </c>
      <c r="D228" s="15">
        <v>1040.0</v>
      </c>
      <c r="E228" s="15">
        <v>19.0</v>
      </c>
      <c r="F228" s="15">
        <v>1.2</v>
      </c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</row>
    <row r="229" ht="19.5" customHeight="1">
      <c r="A229" s="15"/>
      <c r="B229" s="15">
        <v>2.0</v>
      </c>
      <c r="C229" s="15">
        <v>1.0</v>
      </c>
      <c r="D229" s="15">
        <v>709.0</v>
      </c>
      <c r="E229" s="15">
        <v>11.0</v>
      </c>
      <c r="F229" s="15">
        <v>2.37</v>
      </c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</row>
    <row r="230" ht="19.5" customHeight="1">
      <c r="A230" s="15"/>
      <c r="B230" s="15">
        <v>2.0</v>
      </c>
      <c r="C230" s="15">
        <v>1.0</v>
      </c>
      <c r="D230" s="15">
        <v>1674.0</v>
      </c>
      <c r="E230" s="15">
        <v>6.0</v>
      </c>
      <c r="F230" s="15">
        <v>1.79</v>
      </c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</row>
    <row r="231" ht="19.5" customHeight="1">
      <c r="A231" s="15"/>
      <c r="B231" s="15">
        <v>2.0</v>
      </c>
      <c r="C231" s="15">
        <v>1.0</v>
      </c>
      <c r="D231" s="15">
        <v>1108.0</v>
      </c>
      <c r="E231" s="15">
        <v>14.0</v>
      </c>
      <c r="F231" s="15">
        <v>2.11</v>
      </c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</row>
    <row r="232" ht="19.5" customHeight="1">
      <c r="A232" s="15"/>
      <c r="B232" s="15">
        <v>2.0</v>
      </c>
      <c r="C232" s="15">
        <v>1.0</v>
      </c>
      <c r="D232" s="15">
        <v>1558.0</v>
      </c>
      <c r="E232" s="15">
        <v>21.0</v>
      </c>
      <c r="F232" s="15">
        <v>0.76</v>
      </c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</row>
    <row r="233" ht="19.5" customHeight="1">
      <c r="A233" s="15"/>
      <c r="B233" s="15">
        <v>2.0</v>
      </c>
      <c r="C233" s="15">
        <v>1.0</v>
      </c>
      <c r="D233" s="15">
        <v>1473.0</v>
      </c>
      <c r="E233" s="15">
        <v>15.0</v>
      </c>
      <c r="F233" s="15">
        <v>1.51</v>
      </c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</row>
    <row r="234" ht="19.5" customHeight="1">
      <c r="A234" s="15"/>
      <c r="B234" s="15">
        <v>2.0</v>
      </c>
      <c r="C234" s="15">
        <v>1.0</v>
      </c>
      <c r="D234" s="15">
        <v>894.0</v>
      </c>
      <c r="E234" s="15">
        <v>11.0</v>
      </c>
      <c r="F234" s="15">
        <v>0.61</v>
      </c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</row>
    <row r="235" ht="19.5" customHeight="1">
      <c r="A235" s="15"/>
      <c r="B235" s="15">
        <v>2.0</v>
      </c>
      <c r="C235" s="15">
        <v>1.0</v>
      </c>
      <c r="D235" s="15">
        <v>817.0</v>
      </c>
      <c r="E235" s="15">
        <v>7.0</v>
      </c>
      <c r="F235" s="15">
        <v>0.71</v>
      </c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</row>
    <row r="236" ht="19.5" customHeight="1">
      <c r="A236" s="15"/>
      <c r="B236" s="15">
        <v>2.0</v>
      </c>
      <c r="C236" s="15">
        <v>1.0</v>
      </c>
      <c r="D236" s="15">
        <v>565.0</v>
      </c>
      <c r="E236" s="15">
        <v>23.0</v>
      </c>
      <c r="F236" s="15">
        <v>2.15</v>
      </c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</row>
    <row r="237" ht="19.5" customHeight="1">
      <c r="A237" s="15"/>
      <c r="B237" s="15">
        <v>2.0</v>
      </c>
      <c r="C237" s="15">
        <v>1.0</v>
      </c>
      <c r="D237" s="15">
        <v>2094.0</v>
      </c>
      <c r="E237" s="15">
        <v>4.0</v>
      </c>
      <c r="F237" s="15">
        <v>1.46</v>
      </c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</row>
    <row r="238" ht="19.5" customHeight="1">
      <c r="A238" s="15"/>
      <c r="B238" s="15">
        <v>2.0</v>
      </c>
      <c r="C238" s="15">
        <v>1.0</v>
      </c>
      <c r="D238" s="15">
        <v>1102.0</v>
      </c>
      <c r="E238" s="15">
        <v>12.0</v>
      </c>
      <c r="F238" s="15">
        <v>1.82</v>
      </c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</row>
    <row r="239" ht="19.5" customHeight="1">
      <c r="A239" s="15"/>
      <c r="B239" s="15">
        <v>2.0</v>
      </c>
      <c r="C239" s="15">
        <v>1.0</v>
      </c>
      <c r="D239" s="15">
        <v>872.0</v>
      </c>
      <c r="E239" s="15">
        <v>13.0</v>
      </c>
      <c r="F239" s="15">
        <v>2.37</v>
      </c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</row>
    <row r="240" ht="19.5" customHeight="1">
      <c r="A240" s="15"/>
      <c r="B240" s="15">
        <v>2.0</v>
      </c>
      <c r="C240" s="15">
        <v>1.0</v>
      </c>
      <c r="D240" s="15">
        <v>1624.0</v>
      </c>
      <c r="E240" s="15">
        <v>19.0</v>
      </c>
      <c r="F240" s="15">
        <v>0.91</v>
      </c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</row>
    <row r="241" ht="19.5" customHeight="1">
      <c r="A241" s="15"/>
      <c r="B241" s="15">
        <v>2.0</v>
      </c>
      <c r="C241" s="15">
        <v>1.0</v>
      </c>
      <c r="D241" s="15">
        <v>1109.0</v>
      </c>
      <c r="E241" s="15">
        <v>14.0</v>
      </c>
      <c r="F241" s="15">
        <v>1.85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</row>
    <row r="242" ht="19.5" customHeight="1">
      <c r="A242" s="15"/>
      <c r="B242" s="15">
        <v>2.0</v>
      </c>
      <c r="C242" s="15">
        <v>1.0</v>
      </c>
      <c r="D242" s="15">
        <v>1165.0</v>
      </c>
      <c r="E242" s="15">
        <v>17.0</v>
      </c>
      <c r="F242" s="15">
        <v>1.44</v>
      </c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</row>
    <row r="243" ht="19.5" customHeight="1">
      <c r="A243" s="15"/>
      <c r="B243" s="15">
        <v>2.0</v>
      </c>
      <c r="C243" s="15">
        <v>1.0</v>
      </c>
      <c r="D243" s="15">
        <v>1295.0</v>
      </c>
      <c r="E243" s="15">
        <v>12.0</v>
      </c>
      <c r="F243" s="15">
        <v>2.65</v>
      </c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</row>
    <row r="244" ht="19.5" customHeight="1">
      <c r="A244" s="15"/>
      <c r="B244" s="15">
        <v>2.0</v>
      </c>
      <c r="C244" s="15">
        <v>1.0</v>
      </c>
      <c r="D244" s="15">
        <v>1360.0</v>
      </c>
      <c r="E244" s="15">
        <v>17.0</v>
      </c>
      <c r="F244" s="15">
        <v>0.11</v>
      </c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</row>
    <row r="245" ht="19.5" customHeight="1">
      <c r="A245" s="15"/>
      <c r="B245" s="15">
        <v>2.0</v>
      </c>
      <c r="C245" s="15">
        <v>1.0</v>
      </c>
      <c r="D245" s="15">
        <v>1115.0</v>
      </c>
      <c r="E245" s="15">
        <v>12.0</v>
      </c>
      <c r="F245" s="15">
        <v>0.25</v>
      </c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</row>
    <row r="246" ht="19.5" customHeight="1">
      <c r="A246" s="15"/>
      <c r="B246" s="15">
        <v>2.0</v>
      </c>
      <c r="C246" s="15">
        <v>1.0</v>
      </c>
      <c r="D246" s="15">
        <v>1209.0</v>
      </c>
      <c r="E246" s="15">
        <v>14.0</v>
      </c>
      <c r="F246" s="15">
        <v>2.24</v>
      </c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</row>
    <row r="247" ht="19.5" customHeight="1">
      <c r="A247" s="15"/>
      <c r="B247" s="15">
        <v>2.0</v>
      </c>
      <c r="C247" s="15">
        <v>1.0</v>
      </c>
      <c r="D247" s="15">
        <v>764.0</v>
      </c>
      <c r="E247" s="15">
        <v>12.0</v>
      </c>
      <c r="F247" s="15">
        <v>0.19</v>
      </c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</row>
    <row r="248" ht="19.5" customHeight="1">
      <c r="A248" s="15"/>
      <c r="B248" s="15">
        <v>2.0</v>
      </c>
      <c r="C248" s="15">
        <v>1.0</v>
      </c>
      <c r="D248" s="15">
        <v>1245.0</v>
      </c>
      <c r="E248" s="15">
        <v>9.0</v>
      </c>
      <c r="F248" s="15">
        <v>2.45</v>
      </c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</row>
    <row r="249" ht="19.5" customHeight="1">
      <c r="A249" s="15"/>
      <c r="B249" s="15">
        <v>2.0</v>
      </c>
      <c r="C249" s="15">
        <v>1.0</v>
      </c>
      <c r="D249" s="15">
        <v>927.0</v>
      </c>
      <c r="E249" s="15">
        <v>14.0</v>
      </c>
      <c r="F249" s="15">
        <v>1.29</v>
      </c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</row>
    <row r="250" ht="19.5" customHeight="1">
      <c r="A250" s="15"/>
      <c r="B250" s="15">
        <v>2.0</v>
      </c>
      <c r="C250" s="15">
        <v>1.0</v>
      </c>
      <c r="D250" s="15">
        <v>897.0</v>
      </c>
      <c r="E250" s="15">
        <v>7.0</v>
      </c>
      <c r="F250" s="15">
        <v>2.06</v>
      </c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</row>
    <row r="251" ht="19.5" customHeight="1">
      <c r="A251" s="15"/>
      <c r="B251" s="15">
        <v>2.0</v>
      </c>
      <c r="C251" s="15">
        <v>1.0</v>
      </c>
      <c r="D251" s="15">
        <v>894.0</v>
      </c>
      <c r="E251" s="15">
        <v>7.0</v>
      </c>
      <c r="F251" s="15">
        <v>1.98</v>
      </c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</row>
    <row r="252" ht="19.5" customHeight="1">
      <c r="A252" s="15"/>
      <c r="B252" s="15">
        <v>2.0</v>
      </c>
      <c r="C252" s="15">
        <v>1.0</v>
      </c>
      <c r="D252" s="15">
        <v>1302.0</v>
      </c>
      <c r="E252" s="15">
        <v>5.0</v>
      </c>
      <c r="F252" s="15">
        <v>1.93</v>
      </c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</row>
    <row r="253" ht="19.5" customHeight="1">
      <c r="A253" s="15"/>
      <c r="B253" s="15">
        <v>2.0</v>
      </c>
      <c r="C253" s="15">
        <v>1.0</v>
      </c>
      <c r="D253" s="15">
        <v>1251.0</v>
      </c>
      <c r="E253" s="15">
        <v>18.0</v>
      </c>
      <c r="F253" s="15">
        <v>1.02</v>
      </c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</row>
    <row r="254" ht="19.5" customHeight="1">
      <c r="A254" s="15"/>
      <c r="B254" s="15">
        <v>2.0</v>
      </c>
      <c r="C254" s="15">
        <v>1.0</v>
      </c>
      <c r="D254" s="15">
        <v>1110.0</v>
      </c>
      <c r="E254" s="15">
        <v>13.0</v>
      </c>
      <c r="F254" s="15">
        <v>0.78</v>
      </c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</row>
    <row r="255" ht="19.5" customHeight="1">
      <c r="A255" s="15"/>
      <c r="B255" s="15">
        <v>2.0</v>
      </c>
      <c r="C255" s="15">
        <v>1.0</v>
      </c>
      <c r="D255" s="15">
        <v>1768.0</v>
      </c>
      <c r="E255" s="15">
        <v>24.0</v>
      </c>
      <c r="F255" s="15">
        <v>1.67</v>
      </c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</row>
    <row r="256" ht="19.5" customHeight="1">
      <c r="A256" s="15"/>
      <c r="B256" s="15">
        <v>2.0</v>
      </c>
      <c r="C256" s="15">
        <v>1.0</v>
      </c>
      <c r="D256" s="15">
        <v>1101.0</v>
      </c>
      <c r="E256" s="15">
        <v>11.0</v>
      </c>
      <c r="F256" s="15">
        <v>0.91</v>
      </c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</row>
    <row r="257" ht="19.5" customHeight="1">
      <c r="A257" s="15"/>
      <c r="B257" s="15">
        <v>2.0</v>
      </c>
      <c r="C257" s="15">
        <v>1.0</v>
      </c>
      <c r="D257" s="15">
        <v>1178.0</v>
      </c>
      <c r="E257" s="15">
        <v>16.0</v>
      </c>
      <c r="F257" s="15">
        <v>1.3</v>
      </c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</row>
    <row r="258" ht="19.5" customHeight="1">
      <c r="A258" s="15"/>
      <c r="B258" s="15">
        <v>2.0</v>
      </c>
      <c r="C258" s="15">
        <v>1.0</v>
      </c>
      <c r="D258" s="15">
        <v>982.0</v>
      </c>
      <c r="E258" s="15">
        <v>6.0</v>
      </c>
      <c r="F258" s="15">
        <v>0.86</v>
      </c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</row>
    <row r="259" ht="19.5" customHeight="1">
      <c r="A259" s="15"/>
      <c r="B259" s="15">
        <v>2.0</v>
      </c>
      <c r="C259" s="15">
        <v>1.0</v>
      </c>
      <c r="D259" s="15">
        <v>1464.0</v>
      </c>
      <c r="E259" s="15">
        <v>16.0</v>
      </c>
      <c r="F259" s="15">
        <v>1.92</v>
      </c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</row>
    <row r="260" ht="19.5" customHeight="1">
      <c r="A260" s="15"/>
      <c r="B260" s="15">
        <v>2.0</v>
      </c>
      <c r="C260" s="15">
        <v>1.0</v>
      </c>
      <c r="D260" s="15">
        <v>1187.0</v>
      </c>
      <c r="E260" s="15">
        <v>12.0</v>
      </c>
      <c r="F260" s="15">
        <v>0.18</v>
      </c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</row>
    <row r="261" ht="19.5" customHeight="1">
      <c r="A261" s="15"/>
      <c r="B261" s="15">
        <v>2.0</v>
      </c>
      <c r="C261" s="15">
        <v>1.0</v>
      </c>
      <c r="D261" s="15">
        <v>978.0</v>
      </c>
      <c r="E261" s="15">
        <v>18.0</v>
      </c>
      <c r="F261" s="15">
        <v>2.01</v>
      </c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</row>
    <row r="262" ht="19.5" customHeight="1">
      <c r="A262" s="15"/>
      <c r="B262" s="15">
        <v>2.0</v>
      </c>
      <c r="C262" s="15">
        <v>1.0</v>
      </c>
      <c r="D262" s="15">
        <v>894.0</v>
      </c>
      <c r="E262" s="15">
        <v>19.0</v>
      </c>
      <c r="F262" s="15">
        <v>2.89</v>
      </c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</row>
    <row r="263" ht="19.5" customHeight="1">
      <c r="A263" s="15"/>
      <c r="B263" s="15">
        <v>2.0</v>
      </c>
      <c r="C263" s="15">
        <v>1.0</v>
      </c>
      <c r="D263" s="15">
        <v>479.0</v>
      </c>
      <c r="E263" s="15">
        <v>13.0</v>
      </c>
      <c r="F263" s="15">
        <v>1.17</v>
      </c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</row>
    <row r="264" ht="19.5" customHeight="1">
      <c r="A264" s="15"/>
      <c r="B264" s="15">
        <v>2.0</v>
      </c>
      <c r="C264" s="15">
        <v>1.0</v>
      </c>
      <c r="D264" s="15">
        <v>1023.0</v>
      </c>
      <c r="E264" s="15">
        <v>23.0</v>
      </c>
      <c r="F264" s="15">
        <v>1.63</v>
      </c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</row>
    <row r="265" ht="19.5" customHeight="1">
      <c r="A265" s="15"/>
      <c r="B265" s="15">
        <v>2.0</v>
      </c>
      <c r="C265" s="15">
        <v>1.0</v>
      </c>
      <c r="D265" s="15">
        <v>1525.0</v>
      </c>
      <c r="E265" s="15">
        <v>19.0</v>
      </c>
      <c r="F265" s="15">
        <v>0.3</v>
      </c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</row>
    <row r="266" ht="19.5" customHeight="1">
      <c r="A266" s="15"/>
      <c r="B266" s="15">
        <v>2.0</v>
      </c>
      <c r="C266" s="15">
        <v>2.0</v>
      </c>
      <c r="D266" s="15">
        <v>1320.0</v>
      </c>
      <c r="E266" s="15">
        <v>19.0</v>
      </c>
      <c r="F266" s="15">
        <v>1.5</v>
      </c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</row>
    <row r="267" ht="19.5" customHeight="1">
      <c r="A267" s="15"/>
      <c r="B267" s="15">
        <v>2.0</v>
      </c>
      <c r="C267" s="15">
        <v>2.0</v>
      </c>
      <c r="D267" s="15">
        <v>1789.0</v>
      </c>
      <c r="E267" s="15">
        <v>9.0</v>
      </c>
      <c r="F267" s="15">
        <v>0.33</v>
      </c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</row>
    <row r="268" ht="19.5" customHeight="1">
      <c r="A268" s="15"/>
      <c r="B268" s="15">
        <v>2.0</v>
      </c>
      <c r="C268" s="15">
        <v>2.0</v>
      </c>
      <c r="D268" s="15">
        <v>1472.0</v>
      </c>
      <c r="E268" s="15">
        <v>5.0</v>
      </c>
      <c r="F268" s="15">
        <v>1.9</v>
      </c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</row>
    <row r="269" ht="19.5" customHeight="1">
      <c r="A269" s="15"/>
      <c r="B269" s="15">
        <v>2.0</v>
      </c>
      <c r="C269" s="15">
        <v>2.0</v>
      </c>
      <c r="D269" s="15">
        <v>930.0</v>
      </c>
      <c r="E269" s="15">
        <v>15.0</v>
      </c>
      <c r="F269" s="15">
        <v>1.64</v>
      </c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</row>
    <row r="270" ht="19.5" customHeight="1">
      <c r="A270" s="15"/>
      <c r="B270" s="15">
        <v>2.0</v>
      </c>
      <c r="C270" s="15">
        <v>2.0</v>
      </c>
      <c r="D270" s="15">
        <v>1320.0</v>
      </c>
      <c r="E270" s="15">
        <v>20.0</v>
      </c>
      <c r="F270" s="15">
        <v>0.39</v>
      </c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</row>
    <row r="271" ht="19.5" customHeight="1">
      <c r="A271" s="15"/>
      <c r="B271" s="15">
        <v>2.0</v>
      </c>
      <c r="C271" s="15">
        <v>2.0</v>
      </c>
      <c r="D271" s="15">
        <v>1576.0</v>
      </c>
      <c r="E271" s="15">
        <v>15.0</v>
      </c>
      <c r="F271" s="15">
        <v>0.88</v>
      </c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</row>
    <row r="272" ht="19.5" customHeight="1">
      <c r="A272" s="15"/>
      <c r="B272" s="15">
        <v>2.0</v>
      </c>
      <c r="C272" s="15">
        <v>2.0</v>
      </c>
      <c r="D272" s="15">
        <v>1375.0</v>
      </c>
      <c r="E272" s="15">
        <v>16.0</v>
      </c>
      <c r="F272" s="15">
        <v>1.15</v>
      </c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</row>
    <row r="273" ht="19.5" customHeight="1">
      <c r="A273" s="15"/>
      <c r="B273" s="15">
        <v>2.0</v>
      </c>
      <c r="C273" s="15">
        <v>2.0</v>
      </c>
      <c r="D273" s="15">
        <v>1293.0</v>
      </c>
      <c r="E273" s="15">
        <v>11.0</v>
      </c>
      <c r="F273" s="15">
        <v>1.57</v>
      </c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</row>
    <row r="274" ht="19.5" customHeight="1">
      <c r="A274" s="15"/>
      <c r="B274" s="15">
        <v>2.0</v>
      </c>
      <c r="C274" s="15">
        <v>2.0</v>
      </c>
      <c r="D274" s="15">
        <v>1232.0</v>
      </c>
      <c r="E274" s="15">
        <v>16.0</v>
      </c>
      <c r="F274" s="15">
        <v>1.2</v>
      </c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</row>
    <row r="275" ht="19.5" customHeight="1">
      <c r="A275" s="15"/>
      <c r="B275" s="15">
        <v>2.0</v>
      </c>
      <c r="C275" s="15">
        <v>2.0</v>
      </c>
      <c r="D275" s="15">
        <v>1216.0</v>
      </c>
      <c r="E275" s="15">
        <v>11.0</v>
      </c>
      <c r="F275" s="15">
        <v>1.81</v>
      </c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</row>
    <row r="276" ht="19.5" customHeight="1">
      <c r="A276" s="15"/>
      <c r="B276" s="15">
        <v>2.0</v>
      </c>
      <c r="C276" s="15">
        <v>2.0</v>
      </c>
      <c r="D276" s="15">
        <v>1102.0</v>
      </c>
      <c r="E276" s="15">
        <v>2.0</v>
      </c>
      <c r="F276" s="15">
        <v>0.67</v>
      </c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</row>
    <row r="277" ht="19.5" customHeight="1">
      <c r="A277" s="15"/>
      <c r="B277" s="15">
        <v>2.0</v>
      </c>
      <c r="C277" s="15">
        <v>2.0</v>
      </c>
      <c r="D277" s="15">
        <v>1022.0</v>
      </c>
      <c r="E277" s="15">
        <v>9.0</v>
      </c>
      <c r="F277" s="15">
        <v>0.69</v>
      </c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</row>
    <row r="278" ht="19.5" customHeight="1">
      <c r="A278" s="15"/>
      <c r="B278" s="15">
        <v>2.0</v>
      </c>
      <c r="C278" s="15">
        <v>2.0</v>
      </c>
      <c r="D278" s="15">
        <v>948.0</v>
      </c>
      <c r="E278" s="15">
        <v>10.0</v>
      </c>
      <c r="F278" s="15">
        <v>2.05</v>
      </c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</row>
    <row r="279" ht="19.5" customHeight="1">
      <c r="A279" s="15"/>
      <c r="B279" s="15">
        <v>2.0</v>
      </c>
      <c r="C279" s="15">
        <v>2.0</v>
      </c>
      <c r="D279" s="15">
        <v>696.0</v>
      </c>
      <c r="E279" s="15">
        <v>8.0</v>
      </c>
      <c r="F279" s="15">
        <v>1.97</v>
      </c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</row>
    <row r="280" ht="19.5" customHeight="1">
      <c r="A280" s="15"/>
      <c r="B280" s="15">
        <v>2.0</v>
      </c>
      <c r="C280" s="15">
        <v>2.0</v>
      </c>
      <c r="D280" s="15">
        <v>1499.0</v>
      </c>
      <c r="E280" s="15">
        <v>14.0</v>
      </c>
      <c r="F280" s="15">
        <v>0.8</v>
      </c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</row>
    <row r="281" ht="19.5" customHeight="1">
      <c r="A281" s="15"/>
      <c r="B281" s="15">
        <v>2.0</v>
      </c>
      <c r="C281" s="15">
        <v>2.0</v>
      </c>
      <c r="D281" s="15">
        <v>810.0</v>
      </c>
      <c r="E281" s="15">
        <v>3.0</v>
      </c>
      <c r="F281" s="15">
        <v>1.08</v>
      </c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</row>
    <row r="282" ht="19.5" customHeight="1">
      <c r="A282" s="15"/>
      <c r="B282" s="15">
        <v>2.0</v>
      </c>
      <c r="C282" s="15">
        <v>2.0</v>
      </c>
      <c r="D282" s="15">
        <v>841.0</v>
      </c>
      <c r="E282" s="15">
        <v>22.0</v>
      </c>
      <c r="F282" s="15">
        <v>0.1</v>
      </c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</row>
    <row r="283" ht="19.5" customHeight="1">
      <c r="A283" s="15"/>
      <c r="B283" s="15">
        <v>2.0</v>
      </c>
      <c r="C283" s="15">
        <v>2.0</v>
      </c>
      <c r="D283" s="15">
        <v>1602.0</v>
      </c>
      <c r="E283" s="15">
        <v>5.0</v>
      </c>
      <c r="F283" s="15">
        <v>0.55</v>
      </c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</row>
    <row r="284" ht="19.5" customHeight="1">
      <c r="A284" s="15"/>
      <c r="B284" s="15">
        <v>2.0</v>
      </c>
      <c r="C284" s="15">
        <v>2.0</v>
      </c>
      <c r="D284" s="15">
        <v>764.0</v>
      </c>
      <c r="E284" s="15">
        <v>11.0</v>
      </c>
      <c r="F284" s="15">
        <v>0.55</v>
      </c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</row>
    <row r="285" ht="19.5" customHeight="1">
      <c r="A285" s="15"/>
      <c r="B285" s="15">
        <v>2.0</v>
      </c>
      <c r="C285" s="15">
        <v>2.0</v>
      </c>
      <c r="D285" s="15">
        <v>1064.0</v>
      </c>
      <c r="E285" s="15">
        <v>13.0</v>
      </c>
      <c r="F285" s="15">
        <v>2.2</v>
      </c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</row>
    <row r="286" ht="19.5" customHeight="1">
      <c r="A286" s="15"/>
      <c r="B286" s="15">
        <v>2.0</v>
      </c>
      <c r="C286" s="15">
        <v>2.0</v>
      </c>
      <c r="D286" s="15">
        <v>1119.0</v>
      </c>
      <c r="E286" s="15">
        <v>12.0</v>
      </c>
      <c r="F286" s="15">
        <v>1.41</v>
      </c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</row>
    <row r="287" ht="19.5" customHeight="1">
      <c r="A287" s="15"/>
      <c r="B287" s="15">
        <v>2.0</v>
      </c>
      <c r="C287" s="15">
        <v>2.0</v>
      </c>
      <c r="D287" s="15">
        <v>1383.0</v>
      </c>
      <c r="E287" s="15">
        <v>4.0</v>
      </c>
      <c r="F287" s="15">
        <v>0.76</v>
      </c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</row>
    <row r="288" ht="19.5" customHeight="1">
      <c r="A288" s="15"/>
      <c r="B288" s="15">
        <v>2.0</v>
      </c>
      <c r="C288" s="15">
        <v>2.0</v>
      </c>
      <c r="D288" s="15">
        <v>994.0</v>
      </c>
      <c r="E288" s="15">
        <v>13.0</v>
      </c>
      <c r="F288" s="15">
        <v>2.41</v>
      </c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</row>
    <row r="289" ht="19.5" customHeight="1">
      <c r="A289" s="15"/>
      <c r="B289" s="15">
        <v>2.0</v>
      </c>
      <c r="C289" s="15">
        <v>2.0</v>
      </c>
      <c r="D289" s="15">
        <v>1698.0</v>
      </c>
      <c r="E289" s="15">
        <v>16.0</v>
      </c>
      <c r="F289" s="15">
        <v>0.46</v>
      </c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</row>
    <row r="290" ht="19.5" customHeight="1">
      <c r="A290" s="15"/>
      <c r="B290" s="15">
        <v>2.0</v>
      </c>
      <c r="C290" s="15">
        <v>2.0</v>
      </c>
      <c r="D290" s="15">
        <v>897.0</v>
      </c>
      <c r="E290" s="15">
        <v>15.0</v>
      </c>
      <c r="F290" s="15">
        <v>1.65</v>
      </c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</row>
    <row r="291" ht="19.5" customHeight="1">
      <c r="A291" s="15"/>
      <c r="B291" s="15">
        <v>2.0</v>
      </c>
      <c r="C291" s="15">
        <v>2.0</v>
      </c>
      <c r="D291" s="15">
        <v>1812.0</v>
      </c>
      <c r="E291" s="15">
        <v>18.0</v>
      </c>
      <c r="F291" s="15">
        <v>0.0</v>
      </c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</row>
    <row r="292" ht="19.5" customHeight="1">
      <c r="A292" s="15"/>
      <c r="B292" s="15">
        <v>2.0</v>
      </c>
      <c r="C292" s="15">
        <v>2.0</v>
      </c>
      <c r="D292" s="15">
        <v>715.0</v>
      </c>
      <c r="E292" s="15">
        <v>19.0</v>
      </c>
      <c r="F292" s="15">
        <v>1.79</v>
      </c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</row>
    <row r="293" ht="19.5" customHeight="1">
      <c r="A293" s="15"/>
      <c r="B293" s="15">
        <v>2.0</v>
      </c>
      <c r="C293" s="15">
        <v>2.0</v>
      </c>
      <c r="D293" s="15">
        <v>1341.0</v>
      </c>
      <c r="E293" s="15">
        <v>19.0</v>
      </c>
      <c r="F293" s="15">
        <v>1.43</v>
      </c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</row>
    <row r="294" ht="19.5" customHeight="1">
      <c r="A294" s="15"/>
      <c r="B294" s="15">
        <v>2.0</v>
      </c>
      <c r="C294" s="15">
        <v>2.0</v>
      </c>
      <c r="D294" s="15">
        <v>1665.0</v>
      </c>
      <c r="E294" s="15">
        <v>15.0</v>
      </c>
      <c r="F294" s="15">
        <v>0.31</v>
      </c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</row>
    <row r="295" ht="19.5" customHeight="1">
      <c r="A295" s="15"/>
      <c r="B295" s="15">
        <v>2.0</v>
      </c>
      <c r="C295" s="15">
        <v>2.0</v>
      </c>
      <c r="D295" s="15">
        <v>1494.0</v>
      </c>
      <c r="E295" s="15">
        <v>10.0</v>
      </c>
      <c r="F295" s="15">
        <v>0.47</v>
      </c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</row>
    <row r="296" ht="19.5" customHeight="1">
      <c r="A296" s="15"/>
      <c r="B296" s="15">
        <v>2.0</v>
      </c>
      <c r="C296" s="15">
        <v>2.0</v>
      </c>
      <c r="D296" s="15">
        <v>1014.0</v>
      </c>
      <c r="E296" s="15">
        <v>15.0</v>
      </c>
      <c r="F296" s="15">
        <v>1.39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</row>
    <row r="297" ht="19.5" customHeight="1">
      <c r="A297" s="15"/>
      <c r="B297" s="15">
        <v>2.0</v>
      </c>
      <c r="C297" s="15">
        <v>2.0</v>
      </c>
      <c r="D297" s="15">
        <v>1169.0</v>
      </c>
      <c r="E297" s="15">
        <v>19.0</v>
      </c>
      <c r="F297" s="15">
        <v>0.2</v>
      </c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</row>
    <row r="298" ht="19.5" customHeight="1">
      <c r="A298" s="15"/>
      <c r="B298" s="15">
        <v>2.0</v>
      </c>
      <c r="C298" s="15">
        <v>2.0</v>
      </c>
      <c r="D298" s="15">
        <v>1198.0</v>
      </c>
      <c r="E298" s="15">
        <v>20.0</v>
      </c>
      <c r="F298" s="15">
        <v>0.86</v>
      </c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</row>
    <row r="299" ht="19.5" customHeight="1">
      <c r="A299" s="15"/>
      <c r="B299" s="15">
        <v>2.0</v>
      </c>
      <c r="C299" s="15">
        <v>2.0</v>
      </c>
      <c r="D299" s="15">
        <v>1731.0</v>
      </c>
      <c r="E299" s="15">
        <v>6.0</v>
      </c>
      <c r="F299" s="15">
        <v>1.46</v>
      </c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</row>
    <row r="300" ht="19.5" customHeight="1">
      <c r="A300" s="15"/>
      <c r="B300" s="15">
        <v>2.0</v>
      </c>
      <c r="C300" s="15">
        <v>2.0</v>
      </c>
      <c r="D300" s="15">
        <v>662.0</v>
      </c>
      <c r="E300" s="15">
        <v>5.0</v>
      </c>
      <c r="F300" s="15">
        <v>2.33</v>
      </c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</row>
    <row r="301" ht="19.5" customHeight="1">
      <c r="A301" s="15"/>
      <c r="B301" s="15">
        <v>2.0</v>
      </c>
      <c r="C301" s="15">
        <v>2.0</v>
      </c>
      <c r="D301" s="15">
        <v>1104.0</v>
      </c>
      <c r="E301" s="15">
        <v>10.0</v>
      </c>
      <c r="F301" s="15">
        <v>1.47</v>
      </c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</row>
    <row r="302" ht="19.5" customHeight="1">
      <c r="A302" s="15"/>
      <c r="B302" s="15">
        <v>2.0</v>
      </c>
      <c r="C302" s="15">
        <v>2.0</v>
      </c>
      <c r="D302" s="15">
        <v>1203.0</v>
      </c>
      <c r="E302" s="15">
        <v>18.0</v>
      </c>
      <c r="F302" s="15">
        <v>0.0</v>
      </c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</row>
    <row r="303" ht="19.5" customHeight="1">
      <c r="A303" s="15"/>
      <c r="B303" s="15">
        <v>2.0</v>
      </c>
      <c r="C303" s="15">
        <v>2.0</v>
      </c>
      <c r="D303" s="15">
        <v>901.0</v>
      </c>
      <c r="E303" s="15">
        <v>11.0</v>
      </c>
      <c r="F303" s="15">
        <v>2.14</v>
      </c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</row>
    <row r="304" ht="19.5" customHeight="1">
      <c r="A304" s="15"/>
      <c r="B304" s="15">
        <v>2.0</v>
      </c>
      <c r="C304" s="15">
        <v>2.0</v>
      </c>
      <c r="D304" s="15">
        <v>1315.0</v>
      </c>
      <c r="E304" s="15">
        <v>13.0</v>
      </c>
      <c r="F304" s="15">
        <v>0.9</v>
      </c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</row>
    <row r="305" ht="19.5" customHeight="1">
      <c r="A305" s="15"/>
      <c r="B305" s="15">
        <v>2.0</v>
      </c>
      <c r="C305" s="15">
        <v>2.0</v>
      </c>
      <c r="D305" s="15">
        <v>1302.0</v>
      </c>
      <c r="E305" s="15">
        <v>5.0</v>
      </c>
      <c r="F305" s="15">
        <v>1.19</v>
      </c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</row>
    <row r="306" ht="19.5" customHeight="1">
      <c r="A306" s="15"/>
      <c r="B306" s="15">
        <v>2.0</v>
      </c>
      <c r="C306" s="15">
        <v>2.0</v>
      </c>
      <c r="D306" s="15">
        <v>1755.0</v>
      </c>
      <c r="E306" s="15">
        <v>13.0</v>
      </c>
      <c r="F306" s="15">
        <v>0.75</v>
      </c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</row>
    <row r="307" ht="19.5" customHeight="1">
      <c r="A307" s="15"/>
      <c r="B307" s="15">
        <v>2.0</v>
      </c>
      <c r="C307" s="15">
        <v>2.0</v>
      </c>
      <c r="D307" s="15">
        <v>1277.0</v>
      </c>
      <c r="E307" s="15">
        <v>14.0</v>
      </c>
      <c r="F307" s="15">
        <v>0.01</v>
      </c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</row>
    <row r="308" ht="19.5" customHeight="1">
      <c r="A308" s="15"/>
      <c r="B308" s="15">
        <v>2.0</v>
      </c>
      <c r="C308" s="15">
        <v>2.0</v>
      </c>
      <c r="D308" s="15">
        <v>1132.0</v>
      </c>
      <c r="E308" s="15">
        <v>18.0</v>
      </c>
      <c r="F308" s="15">
        <v>2.41</v>
      </c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</row>
    <row r="309" ht="19.5" customHeight="1">
      <c r="A309" s="15"/>
      <c r="B309" s="15">
        <v>2.0</v>
      </c>
      <c r="C309" s="15">
        <v>2.0</v>
      </c>
      <c r="D309" s="15">
        <v>1678.0</v>
      </c>
      <c r="E309" s="15">
        <v>10.0</v>
      </c>
      <c r="F309" s="15">
        <v>1.41</v>
      </c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</row>
    <row r="310" ht="19.5" customHeight="1">
      <c r="A310" s="15"/>
      <c r="B310" s="15">
        <v>2.0</v>
      </c>
      <c r="C310" s="15">
        <v>2.0</v>
      </c>
      <c r="D310" s="15">
        <v>1210.0</v>
      </c>
      <c r="E310" s="15">
        <v>8.0</v>
      </c>
      <c r="F310" s="15">
        <v>1.87</v>
      </c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</row>
    <row r="311" ht="19.5" customHeight="1">
      <c r="A311" s="15"/>
      <c r="B311" s="15">
        <v>2.0</v>
      </c>
      <c r="C311" s="15">
        <v>2.0</v>
      </c>
      <c r="D311" s="15">
        <v>688.0</v>
      </c>
      <c r="E311" s="15">
        <v>26.0</v>
      </c>
      <c r="F311" s="15">
        <v>1.53</v>
      </c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</row>
    <row r="312" ht="19.5" customHeight="1">
      <c r="A312" s="15"/>
      <c r="B312" s="15">
        <v>2.0</v>
      </c>
      <c r="C312" s="15">
        <v>2.0</v>
      </c>
      <c r="D312" s="15">
        <v>635.0</v>
      </c>
      <c r="E312" s="15">
        <v>4.0</v>
      </c>
      <c r="F312" s="15">
        <v>2.0</v>
      </c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</row>
    <row r="313" ht="19.5" customHeight="1">
      <c r="A313" s="15"/>
      <c r="B313" s="15">
        <v>2.0</v>
      </c>
      <c r="C313" s="15">
        <v>2.0</v>
      </c>
      <c r="D313" s="15">
        <v>725.0</v>
      </c>
      <c r="E313" s="15">
        <v>10.0</v>
      </c>
      <c r="F313" s="15">
        <v>1.51</v>
      </c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</row>
    <row r="314" ht="19.5" customHeight="1">
      <c r="A314" s="15"/>
      <c r="B314" s="15">
        <v>2.0</v>
      </c>
      <c r="C314" s="15">
        <v>2.0</v>
      </c>
      <c r="D314" s="15">
        <v>945.0</v>
      </c>
      <c r="E314" s="15">
        <v>16.0</v>
      </c>
      <c r="F314" s="15">
        <v>2.03</v>
      </c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</row>
    <row r="315" ht="19.5" customHeight="1">
      <c r="A315" s="15"/>
      <c r="B315" s="15">
        <v>2.0</v>
      </c>
      <c r="C315" s="15">
        <v>2.0</v>
      </c>
      <c r="D315" s="15">
        <v>818.0</v>
      </c>
      <c r="E315" s="15">
        <v>12.0</v>
      </c>
      <c r="F315" s="15">
        <v>1.09</v>
      </c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</row>
    <row r="316" ht="19.5" customHeight="1">
      <c r="A316" s="15"/>
      <c r="B316" s="15">
        <v>2.0</v>
      </c>
      <c r="C316" s="15">
        <v>2.0</v>
      </c>
      <c r="D316" s="15">
        <v>1025.0</v>
      </c>
      <c r="E316" s="15">
        <v>13.0</v>
      </c>
      <c r="F316" s="15">
        <v>1.19</v>
      </c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</row>
    <row r="317" ht="19.5" customHeight="1">
      <c r="A317" s="15"/>
      <c r="B317" s="15">
        <v>2.0</v>
      </c>
      <c r="C317" s="15">
        <v>2.0</v>
      </c>
      <c r="D317" s="15">
        <v>1555.0</v>
      </c>
      <c r="E317" s="15">
        <v>6.0</v>
      </c>
      <c r="F317" s="15">
        <v>1.73</v>
      </c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</row>
    <row r="318" ht="19.5" customHeight="1">
      <c r="A318" s="15"/>
      <c r="B318" s="15">
        <v>2.0</v>
      </c>
      <c r="C318" s="15">
        <v>2.0</v>
      </c>
      <c r="D318" s="15">
        <v>379.0</v>
      </c>
      <c r="E318" s="15">
        <v>10.0</v>
      </c>
      <c r="F318" s="15">
        <v>2.58</v>
      </c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</row>
    <row r="319" ht="19.5" customHeight="1">
      <c r="A319" s="15"/>
      <c r="B319" s="15">
        <v>2.0</v>
      </c>
      <c r="C319" s="15">
        <v>2.0</v>
      </c>
      <c r="D319" s="15">
        <v>1229.0</v>
      </c>
      <c r="E319" s="15">
        <v>18.0</v>
      </c>
      <c r="F319" s="15">
        <v>0.5</v>
      </c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</row>
    <row r="320" ht="19.5" customHeight="1">
      <c r="A320" s="15"/>
      <c r="B320" s="15">
        <v>2.0</v>
      </c>
      <c r="C320" s="15">
        <v>2.0</v>
      </c>
      <c r="D320" s="15">
        <v>1381.0</v>
      </c>
      <c r="E320" s="15">
        <v>17.0</v>
      </c>
      <c r="F320" s="15">
        <v>1.67</v>
      </c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</row>
    <row r="321" ht="19.5" customHeight="1">
      <c r="A321" s="15"/>
      <c r="B321" s="15">
        <v>2.0</v>
      </c>
      <c r="C321" s="15">
        <v>2.0</v>
      </c>
      <c r="D321" s="15">
        <v>514.0</v>
      </c>
      <c r="E321" s="15">
        <v>11.0</v>
      </c>
      <c r="F321" s="15">
        <v>2.1</v>
      </c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</row>
    <row r="322" ht="19.5" customHeight="1">
      <c r="A322" s="15"/>
      <c r="B322" s="15">
        <v>2.0</v>
      </c>
      <c r="C322" s="15">
        <v>2.0</v>
      </c>
      <c r="D322" s="15">
        <v>1256.0</v>
      </c>
      <c r="E322" s="15">
        <v>16.0</v>
      </c>
      <c r="F322" s="15">
        <v>0.47</v>
      </c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</row>
    <row r="323" ht="19.5" customHeight="1">
      <c r="A323" s="15"/>
      <c r="B323" s="15">
        <v>2.0</v>
      </c>
      <c r="C323" s="15">
        <v>2.0</v>
      </c>
      <c r="D323" s="15">
        <v>1631.0</v>
      </c>
      <c r="E323" s="15">
        <v>12.0</v>
      </c>
      <c r="F323" s="15">
        <v>0.61</v>
      </c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</row>
    <row r="324" ht="19.5" customHeight="1">
      <c r="A324" s="15"/>
      <c r="B324" s="15">
        <v>2.0</v>
      </c>
      <c r="C324" s="15">
        <v>2.0</v>
      </c>
      <c r="D324" s="15">
        <v>1094.0</v>
      </c>
      <c r="E324" s="15">
        <v>12.0</v>
      </c>
      <c r="F324" s="15">
        <v>0.09</v>
      </c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</row>
    <row r="325" ht="19.5" customHeight="1">
      <c r="A325" s="15"/>
      <c r="B325" s="15">
        <v>2.0</v>
      </c>
      <c r="C325" s="15">
        <v>2.0</v>
      </c>
      <c r="D325" s="15">
        <v>1412.0</v>
      </c>
      <c r="E325" s="15">
        <v>17.0</v>
      </c>
      <c r="F325" s="15">
        <v>0.41</v>
      </c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</row>
    <row r="326" ht="19.5" customHeight="1">
      <c r="A326" s="15"/>
      <c r="B326" s="15">
        <v>2.0</v>
      </c>
      <c r="C326" s="15">
        <v>2.0</v>
      </c>
      <c r="D326" s="15">
        <v>1041.0</v>
      </c>
      <c r="E326" s="15">
        <v>6.0</v>
      </c>
      <c r="F326" s="15">
        <v>0.71</v>
      </c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</row>
    <row r="327" ht="19.5" customHeight="1">
      <c r="A327" s="15"/>
      <c r="B327" s="15">
        <v>2.0</v>
      </c>
      <c r="C327" s="15">
        <v>2.0</v>
      </c>
      <c r="D327" s="15">
        <v>1077.0</v>
      </c>
      <c r="E327" s="15">
        <v>7.0</v>
      </c>
      <c r="F327" s="15">
        <v>1.32</v>
      </c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</row>
    <row r="328" ht="19.5" customHeight="1">
      <c r="A328" s="15"/>
      <c r="B328" s="15">
        <v>2.0</v>
      </c>
      <c r="C328" s="15">
        <v>2.0</v>
      </c>
      <c r="D328" s="15">
        <v>1355.0</v>
      </c>
      <c r="E328" s="15">
        <v>15.0</v>
      </c>
      <c r="F328" s="15">
        <v>1.56</v>
      </c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</row>
    <row r="329" ht="19.5" customHeight="1">
      <c r="A329" s="15"/>
      <c r="B329" s="15">
        <v>2.0</v>
      </c>
      <c r="C329" s="15">
        <v>2.0</v>
      </c>
      <c r="D329" s="15">
        <v>1452.0</v>
      </c>
      <c r="E329" s="15">
        <v>15.0</v>
      </c>
      <c r="F329" s="15">
        <v>0.64</v>
      </c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</row>
    <row r="330" ht="19.5" customHeight="1">
      <c r="A330" s="15"/>
      <c r="B330" s="15">
        <v>2.0</v>
      </c>
      <c r="C330" s="15">
        <v>2.0</v>
      </c>
      <c r="D330" s="15">
        <v>1204.0</v>
      </c>
      <c r="E330" s="15">
        <v>17.0</v>
      </c>
      <c r="F330" s="15">
        <v>0.75</v>
      </c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</row>
    <row r="331" ht="19.5" customHeight="1">
      <c r="A331" s="15"/>
      <c r="B331" s="15">
        <v>2.0</v>
      </c>
      <c r="C331" s="15">
        <v>2.0</v>
      </c>
      <c r="D331" s="15">
        <v>1615.0</v>
      </c>
      <c r="E331" s="15">
        <v>26.0</v>
      </c>
      <c r="F331" s="15">
        <v>1.04</v>
      </c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</row>
    <row r="332" ht="19.5" customHeight="1">
      <c r="A332" s="15"/>
      <c r="B332" s="15">
        <v>2.0</v>
      </c>
      <c r="C332" s="15">
        <v>2.0</v>
      </c>
      <c r="D332" s="15">
        <v>970.0</v>
      </c>
      <c r="E332" s="15">
        <v>14.0</v>
      </c>
      <c r="F332" s="15">
        <v>0.86</v>
      </c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 ht="19.5" customHeight="1">
      <c r="A333" s="15"/>
      <c r="B333" s="15">
        <v>2.0</v>
      </c>
      <c r="C333" s="15">
        <v>2.0</v>
      </c>
      <c r="D333" s="15">
        <v>619.0</v>
      </c>
      <c r="E333" s="15">
        <v>19.0</v>
      </c>
      <c r="F333" s="15">
        <v>0.7</v>
      </c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 ht="19.5" customHeight="1">
      <c r="A334" s="15"/>
      <c r="B334" s="15">
        <v>2.0</v>
      </c>
      <c r="C334" s="15">
        <v>2.0</v>
      </c>
      <c r="D334" s="15">
        <v>848.0</v>
      </c>
      <c r="E334" s="15">
        <v>22.0</v>
      </c>
      <c r="F334" s="15">
        <v>1.82</v>
      </c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 ht="19.5" customHeight="1">
      <c r="A335" s="15"/>
      <c r="B335" s="15">
        <v>2.0</v>
      </c>
      <c r="C335" s="15">
        <v>2.0</v>
      </c>
      <c r="D335" s="15">
        <v>1110.0</v>
      </c>
      <c r="E335" s="15">
        <v>11.0</v>
      </c>
      <c r="F335" s="15">
        <v>0.68</v>
      </c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 ht="19.5" customHeight="1">
      <c r="A336" s="15"/>
      <c r="B336" s="15">
        <v>2.0</v>
      </c>
      <c r="C336" s="15">
        <v>2.0</v>
      </c>
      <c r="D336" s="15">
        <v>1255.0</v>
      </c>
      <c r="E336" s="15">
        <v>21.0</v>
      </c>
      <c r="F336" s="15">
        <v>1.08</v>
      </c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 ht="19.5" customHeight="1">
      <c r="A337" s="15"/>
      <c r="B337" s="15">
        <v>2.0</v>
      </c>
      <c r="C337" s="15">
        <v>2.0</v>
      </c>
      <c r="D337" s="15">
        <v>1532.0</v>
      </c>
      <c r="E337" s="15">
        <v>12.0</v>
      </c>
      <c r="F337" s="15">
        <v>0.63</v>
      </c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 ht="19.5" customHeight="1">
      <c r="A338" s="15"/>
      <c r="B338" s="15">
        <v>2.0</v>
      </c>
      <c r="C338" s="15">
        <v>2.0</v>
      </c>
      <c r="D338" s="15">
        <v>873.0</v>
      </c>
      <c r="E338" s="15">
        <v>15.0</v>
      </c>
      <c r="F338" s="15">
        <v>1.62</v>
      </c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 ht="19.5" customHeight="1">
      <c r="A339" s="15"/>
      <c r="B339" s="15">
        <v>2.0</v>
      </c>
      <c r="C339" s="15">
        <v>2.0</v>
      </c>
      <c r="D339" s="15">
        <v>870.0</v>
      </c>
      <c r="E339" s="15">
        <v>22.0</v>
      </c>
      <c r="F339" s="15">
        <v>0.0</v>
      </c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 ht="19.5" customHeight="1">
      <c r="A340" s="15"/>
      <c r="B340" s="15">
        <v>2.0</v>
      </c>
      <c r="C340" s="15">
        <v>2.0</v>
      </c>
      <c r="D340" s="15">
        <v>2016.0</v>
      </c>
      <c r="E340" s="15">
        <v>18.0</v>
      </c>
      <c r="F340" s="15">
        <v>1.35</v>
      </c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 ht="19.5" customHeight="1">
      <c r="A341" s="15"/>
      <c r="B341" s="15">
        <v>2.0</v>
      </c>
      <c r="C341" s="15">
        <v>2.0</v>
      </c>
      <c r="D341" s="15">
        <v>1014.0</v>
      </c>
      <c r="E341" s="15">
        <v>3.0</v>
      </c>
      <c r="F341" s="15">
        <v>1.71</v>
      </c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 ht="19.5" customHeight="1">
      <c r="A342" s="15"/>
      <c r="B342" s="15">
        <v>2.0</v>
      </c>
      <c r="C342" s="15">
        <v>3.0</v>
      </c>
      <c r="D342" s="15">
        <v>1385.0</v>
      </c>
      <c r="E342" s="15">
        <v>16.0</v>
      </c>
      <c r="F342" s="15">
        <v>0.31</v>
      </c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ht="19.5" customHeight="1">
      <c r="A343" s="15"/>
      <c r="B343" s="15">
        <v>2.0</v>
      </c>
      <c r="C343" s="15">
        <v>3.0</v>
      </c>
      <c r="D343" s="15">
        <v>1292.0</v>
      </c>
      <c r="E343" s="15">
        <v>20.0</v>
      </c>
      <c r="F343" s="15">
        <v>1.39</v>
      </c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ht="19.5" customHeight="1">
      <c r="A344" s="15"/>
      <c r="B344" s="15">
        <v>2.0</v>
      </c>
      <c r="C344" s="15">
        <v>3.0</v>
      </c>
      <c r="D344" s="15">
        <v>920.0</v>
      </c>
      <c r="E344" s="15">
        <v>5.0</v>
      </c>
      <c r="F344" s="15">
        <v>2.88</v>
      </c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ht="19.5" customHeight="1">
      <c r="A345" s="15"/>
      <c r="B345" s="15">
        <v>2.0</v>
      </c>
      <c r="C345" s="15">
        <v>3.0</v>
      </c>
      <c r="D345" s="15">
        <v>1685.0</v>
      </c>
      <c r="E345" s="15">
        <v>15.0</v>
      </c>
      <c r="F345" s="15">
        <v>0.0</v>
      </c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 ht="19.5" customHeight="1">
      <c r="A346" s="15"/>
      <c r="B346" s="15">
        <v>2.0</v>
      </c>
      <c r="C346" s="15">
        <v>3.0</v>
      </c>
      <c r="D346" s="15">
        <v>419.0</v>
      </c>
      <c r="E346" s="15">
        <v>9.0</v>
      </c>
      <c r="F346" s="15">
        <v>0.52</v>
      </c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</row>
    <row r="347" ht="19.5" customHeight="1">
      <c r="A347" s="15"/>
      <c r="B347" s="15">
        <v>2.0</v>
      </c>
      <c r="C347" s="15">
        <v>3.0</v>
      </c>
      <c r="D347" s="15">
        <v>1477.0</v>
      </c>
      <c r="E347" s="15">
        <v>10.0</v>
      </c>
      <c r="F347" s="15">
        <v>1.16</v>
      </c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</row>
    <row r="348" ht="19.5" customHeight="1">
      <c r="A348" s="15"/>
      <c r="B348" s="15">
        <v>2.0</v>
      </c>
      <c r="C348" s="15">
        <v>3.0</v>
      </c>
      <c r="D348" s="15">
        <v>677.0</v>
      </c>
      <c r="E348" s="15">
        <v>10.0</v>
      </c>
      <c r="F348" s="15">
        <v>0.71</v>
      </c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ht="19.5" customHeight="1">
      <c r="A349" s="15"/>
      <c r="B349" s="15">
        <v>2.0</v>
      </c>
      <c r="C349" s="15">
        <v>3.0</v>
      </c>
      <c r="D349" s="15">
        <v>879.0</v>
      </c>
      <c r="E349" s="15">
        <v>17.0</v>
      </c>
      <c r="F349" s="15">
        <v>2.39</v>
      </c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 ht="19.5" customHeight="1">
      <c r="A350" s="15"/>
      <c r="B350" s="15">
        <v>2.0</v>
      </c>
      <c r="C350" s="15">
        <v>3.0</v>
      </c>
      <c r="D350" s="15">
        <v>1146.0</v>
      </c>
      <c r="E350" s="15">
        <v>8.0</v>
      </c>
      <c r="F350" s="15">
        <v>2.23</v>
      </c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</row>
    <row r="351" ht="19.5" customHeight="1">
      <c r="A351" s="15"/>
      <c r="B351" s="15">
        <v>2.0</v>
      </c>
      <c r="C351" s="15">
        <v>3.0</v>
      </c>
      <c r="D351" s="15">
        <v>1256.0</v>
      </c>
      <c r="E351" s="15">
        <v>11.0</v>
      </c>
      <c r="F351" s="15">
        <v>2.06</v>
      </c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</row>
    <row r="352" ht="19.5" customHeight="1">
      <c r="A352" s="15"/>
      <c r="B352" s="15">
        <v>2.0</v>
      </c>
      <c r="C352" s="15">
        <v>3.0</v>
      </c>
      <c r="D352" s="15">
        <v>950.0</v>
      </c>
      <c r="E352" s="15">
        <v>13.0</v>
      </c>
      <c r="F352" s="15">
        <v>1.0</v>
      </c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 ht="19.5" customHeight="1">
      <c r="A353" s="15"/>
      <c r="B353" s="15">
        <v>2.0</v>
      </c>
      <c r="C353" s="15">
        <v>3.0</v>
      </c>
      <c r="D353" s="15">
        <v>584.0</v>
      </c>
      <c r="E353" s="15">
        <v>12.0</v>
      </c>
      <c r="F353" s="15">
        <v>0.93</v>
      </c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ht="19.5" customHeight="1">
      <c r="A354" s="15"/>
      <c r="B354" s="15">
        <v>2.0</v>
      </c>
      <c r="C354" s="15">
        <v>3.0</v>
      </c>
      <c r="D354" s="15">
        <v>1514.0</v>
      </c>
      <c r="E354" s="15">
        <v>7.0</v>
      </c>
      <c r="F354" s="15">
        <v>0.85</v>
      </c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 ht="19.5" customHeight="1">
      <c r="A355" s="15"/>
      <c r="B355" s="15">
        <v>2.0</v>
      </c>
      <c r="C355" s="15">
        <v>3.0</v>
      </c>
      <c r="D355" s="15">
        <v>1686.0</v>
      </c>
      <c r="E355" s="15">
        <v>18.0</v>
      </c>
      <c r="F355" s="15">
        <v>0.0</v>
      </c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 ht="19.5" customHeight="1">
      <c r="A356" s="15"/>
      <c r="B356" s="15">
        <v>2.0</v>
      </c>
      <c r="C356" s="15">
        <v>3.0</v>
      </c>
      <c r="D356" s="15">
        <v>832.0</v>
      </c>
      <c r="E356" s="15">
        <v>14.0</v>
      </c>
      <c r="F356" s="15">
        <v>0.46</v>
      </c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ht="19.5" customHeight="1">
      <c r="A357" s="15"/>
      <c r="B357" s="15">
        <v>2.0</v>
      </c>
      <c r="C357" s="15">
        <v>3.0</v>
      </c>
      <c r="D357" s="15">
        <v>1104.0</v>
      </c>
      <c r="E357" s="15">
        <v>14.0</v>
      </c>
      <c r="F357" s="15">
        <v>1.45</v>
      </c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ht="19.5" customHeight="1">
      <c r="A358" s="15"/>
      <c r="B358" s="15">
        <v>2.0</v>
      </c>
      <c r="C358" s="15">
        <v>3.0</v>
      </c>
      <c r="D358" s="15">
        <v>1022.0</v>
      </c>
      <c r="E358" s="15">
        <v>16.0</v>
      </c>
      <c r="F358" s="15">
        <v>2.32</v>
      </c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 ht="19.5" customHeight="1">
      <c r="A359" s="15"/>
      <c r="B359" s="15">
        <v>2.0</v>
      </c>
      <c r="C359" s="15">
        <v>3.0</v>
      </c>
      <c r="D359" s="15">
        <v>1859.0</v>
      </c>
      <c r="E359" s="15">
        <v>21.0</v>
      </c>
      <c r="F359" s="15">
        <v>0.0</v>
      </c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ht="19.5" customHeight="1">
      <c r="A360" s="15"/>
      <c r="B360" s="15">
        <v>2.0</v>
      </c>
      <c r="C360" s="15">
        <v>3.0</v>
      </c>
      <c r="D360" s="15">
        <v>1181.0</v>
      </c>
      <c r="E360" s="15">
        <v>8.0</v>
      </c>
      <c r="F360" s="15">
        <v>1.81</v>
      </c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 ht="19.5" customHeight="1">
      <c r="A361" s="15"/>
      <c r="B361" s="15">
        <v>2.0</v>
      </c>
      <c r="C361" s="15">
        <v>3.0</v>
      </c>
      <c r="D361" s="15">
        <v>856.0</v>
      </c>
      <c r="E361" s="15">
        <v>10.0</v>
      </c>
      <c r="F361" s="15">
        <v>1.27</v>
      </c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 ht="19.5" customHeight="1">
      <c r="A362" s="15"/>
      <c r="B362" s="15">
        <v>2.0</v>
      </c>
      <c r="C362" s="15">
        <v>3.0</v>
      </c>
      <c r="D362" s="15">
        <v>865.0</v>
      </c>
      <c r="E362" s="15">
        <v>21.0</v>
      </c>
      <c r="F362" s="15">
        <v>1.37</v>
      </c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 ht="19.5" customHeight="1">
      <c r="A363" s="15"/>
      <c r="B363" s="15">
        <v>2.0</v>
      </c>
      <c r="C363" s="15">
        <v>3.0</v>
      </c>
      <c r="D363" s="15">
        <v>1081.0</v>
      </c>
      <c r="E363" s="15">
        <v>21.0</v>
      </c>
      <c r="F363" s="15">
        <v>2.41</v>
      </c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ht="19.5" customHeight="1">
      <c r="A364" s="15"/>
      <c r="B364" s="15">
        <v>2.0</v>
      </c>
      <c r="C364" s="15">
        <v>3.0</v>
      </c>
      <c r="D364" s="15">
        <v>872.0</v>
      </c>
      <c r="E364" s="15">
        <v>10.0</v>
      </c>
      <c r="F364" s="15">
        <v>1.46</v>
      </c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 ht="19.5" customHeight="1">
      <c r="A365" s="15"/>
      <c r="B365" s="15">
        <v>2.0</v>
      </c>
      <c r="C365" s="15">
        <v>3.0</v>
      </c>
      <c r="D365" s="15">
        <v>1292.0</v>
      </c>
      <c r="E365" s="15">
        <v>13.0</v>
      </c>
      <c r="F365" s="15">
        <v>1.25</v>
      </c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 ht="19.5" customHeight="1">
      <c r="A366" s="15"/>
      <c r="B366" s="15">
        <v>2.0</v>
      </c>
      <c r="C366" s="15">
        <v>3.0</v>
      </c>
      <c r="D366" s="15">
        <v>846.0</v>
      </c>
      <c r="E366" s="15">
        <v>10.0</v>
      </c>
      <c r="F366" s="15">
        <v>0.93</v>
      </c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ht="19.5" customHeight="1">
      <c r="A367" s="15"/>
      <c r="B367" s="15">
        <v>2.0</v>
      </c>
      <c r="C367" s="15">
        <v>3.0</v>
      </c>
      <c r="D367" s="15">
        <v>1020.0</v>
      </c>
      <c r="E367" s="15">
        <v>7.0</v>
      </c>
      <c r="F367" s="15">
        <v>0.71</v>
      </c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ht="19.5" customHeight="1">
      <c r="A368" s="15"/>
      <c r="B368" s="15">
        <v>2.0</v>
      </c>
      <c r="C368" s="15">
        <v>3.0</v>
      </c>
      <c r="D368" s="15">
        <v>1045.0</v>
      </c>
      <c r="E368" s="15">
        <v>14.0</v>
      </c>
      <c r="F368" s="15">
        <v>1.28</v>
      </c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</row>
    <row r="369" ht="19.5" customHeight="1">
      <c r="A369" s="15"/>
      <c r="B369" s="15">
        <v>2.0</v>
      </c>
      <c r="C369" s="15">
        <v>3.0</v>
      </c>
      <c r="D369" s="15">
        <v>1088.0</v>
      </c>
      <c r="E369" s="15">
        <v>9.0</v>
      </c>
      <c r="F369" s="15">
        <v>0.17</v>
      </c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</row>
    <row r="370" ht="19.5" customHeight="1">
      <c r="A370" s="15"/>
      <c r="B370" s="15">
        <v>2.0</v>
      </c>
      <c r="C370" s="15">
        <v>3.0</v>
      </c>
      <c r="D370" s="15">
        <v>1394.0</v>
      </c>
      <c r="E370" s="15">
        <v>17.0</v>
      </c>
      <c r="F370" s="15">
        <v>1.26</v>
      </c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</row>
    <row r="371" ht="19.5" customHeight="1">
      <c r="A371" s="15"/>
      <c r="B371" s="15">
        <v>2.0</v>
      </c>
      <c r="C371" s="15">
        <v>3.0</v>
      </c>
      <c r="D371" s="15">
        <v>1128.0</v>
      </c>
      <c r="E371" s="15">
        <v>9.0</v>
      </c>
      <c r="F371" s="15">
        <v>0.18</v>
      </c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</row>
    <row r="372" ht="19.5" customHeight="1">
      <c r="A372" s="15"/>
      <c r="B372" s="15">
        <v>2.0</v>
      </c>
      <c r="C372" s="15">
        <v>3.0</v>
      </c>
      <c r="D372" s="15">
        <v>484.0</v>
      </c>
      <c r="E372" s="15">
        <v>11.0</v>
      </c>
      <c r="F372" s="15">
        <v>1.6</v>
      </c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</row>
    <row r="373" ht="19.5" customHeight="1">
      <c r="A373" s="15"/>
      <c r="B373" s="15">
        <v>2.0</v>
      </c>
      <c r="C373" s="15">
        <v>3.0</v>
      </c>
      <c r="D373" s="15">
        <v>1945.0</v>
      </c>
      <c r="E373" s="15">
        <v>8.0</v>
      </c>
      <c r="F373" s="15">
        <v>1.11</v>
      </c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</row>
    <row r="374" ht="19.5" customHeight="1">
      <c r="A374" s="15"/>
      <c r="B374" s="15">
        <v>2.0</v>
      </c>
      <c r="C374" s="15">
        <v>3.0</v>
      </c>
      <c r="D374" s="15">
        <v>1343.0</v>
      </c>
      <c r="E374" s="15">
        <v>19.0</v>
      </c>
      <c r="F374" s="15">
        <v>0.36</v>
      </c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</row>
    <row r="375" ht="19.5" customHeight="1">
      <c r="A375" s="15"/>
      <c r="B375" s="15">
        <v>2.0</v>
      </c>
      <c r="C375" s="15">
        <v>3.0</v>
      </c>
      <c r="D375" s="15">
        <v>1304.0</v>
      </c>
      <c r="E375" s="15">
        <v>15.0</v>
      </c>
      <c r="F375" s="15">
        <v>1.71</v>
      </c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</row>
    <row r="376" ht="19.5" customHeight="1">
      <c r="A376" s="15"/>
      <c r="B376" s="15">
        <v>2.0</v>
      </c>
      <c r="C376" s="15">
        <v>3.0</v>
      </c>
      <c r="D376" s="15">
        <v>934.0</v>
      </c>
      <c r="E376" s="15">
        <v>9.0</v>
      </c>
      <c r="F376" s="15">
        <v>1.98</v>
      </c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</row>
    <row r="377" ht="19.5" customHeight="1">
      <c r="A377" s="15"/>
      <c r="B377" s="15">
        <v>2.0</v>
      </c>
      <c r="C377" s="15">
        <v>3.0</v>
      </c>
      <c r="D377" s="15">
        <v>1022.0</v>
      </c>
      <c r="E377" s="15">
        <v>8.0</v>
      </c>
      <c r="F377" s="15">
        <v>0.15</v>
      </c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</row>
    <row r="378" ht="19.5" customHeight="1">
      <c r="A378" s="15"/>
      <c r="B378" s="15">
        <v>2.0</v>
      </c>
      <c r="C378" s="15">
        <v>3.0</v>
      </c>
      <c r="D378" s="15">
        <v>1171.0</v>
      </c>
      <c r="E378" s="15">
        <v>10.0</v>
      </c>
      <c r="F378" s="15">
        <v>1.43</v>
      </c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</row>
    <row r="379" ht="19.5" customHeight="1">
      <c r="A379" s="15"/>
      <c r="B379" s="15">
        <v>2.0</v>
      </c>
      <c r="C379" s="15">
        <v>3.0</v>
      </c>
      <c r="D379" s="15">
        <v>1090.0</v>
      </c>
      <c r="E379" s="15">
        <v>15.0</v>
      </c>
      <c r="F379" s="15">
        <v>1.48</v>
      </c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</row>
    <row r="380" ht="19.5" customHeight="1">
      <c r="A380" s="15"/>
      <c r="B380" s="15">
        <v>2.0</v>
      </c>
      <c r="C380" s="15">
        <v>3.0</v>
      </c>
      <c r="D380" s="15">
        <v>448.0</v>
      </c>
      <c r="E380" s="15">
        <v>10.0</v>
      </c>
      <c r="F380" s="15">
        <v>1.33</v>
      </c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</row>
    <row r="381" ht="19.5" customHeight="1">
      <c r="A381" s="15"/>
      <c r="B381" s="15">
        <v>2.0</v>
      </c>
      <c r="C381" s="15">
        <v>3.0</v>
      </c>
      <c r="D381" s="15">
        <v>721.0</v>
      </c>
      <c r="E381" s="15">
        <v>13.0</v>
      </c>
      <c r="F381" s="15">
        <v>0.77</v>
      </c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</row>
    <row r="382" ht="19.5" customHeight="1">
      <c r="A382" s="15"/>
      <c r="B382" s="15">
        <v>2.0</v>
      </c>
      <c r="C382" s="15">
        <v>3.0</v>
      </c>
      <c r="D382" s="15">
        <v>962.0</v>
      </c>
      <c r="E382" s="15">
        <v>15.0</v>
      </c>
      <c r="F382" s="15">
        <v>0.97</v>
      </c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</row>
    <row r="383" ht="19.5" customHeight="1">
      <c r="A383" s="15"/>
      <c r="B383" s="15">
        <v>2.0</v>
      </c>
      <c r="C383" s="15">
        <v>3.0</v>
      </c>
      <c r="D383" s="15">
        <v>960.0</v>
      </c>
      <c r="E383" s="15">
        <v>11.0</v>
      </c>
      <c r="F383" s="15">
        <v>0.93</v>
      </c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</row>
    <row r="384" ht="19.5" customHeight="1">
      <c r="A384" s="15"/>
      <c r="B384" s="15">
        <v>2.0</v>
      </c>
      <c r="C384" s="15">
        <v>3.0</v>
      </c>
      <c r="D384" s="15">
        <v>1621.0</v>
      </c>
      <c r="E384" s="15">
        <v>16.0</v>
      </c>
      <c r="F384" s="15">
        <v>0.76</v>
      </c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</row>
    <row r="385" ht="19.5" customHeight="1">
      <c r="A385" s="15"/>
      <c r="B385" s="15">
        <v>2.0</v>
      </c>
      <c r="C385" s="15">
        <v>3.0</v>
      </c>
      <c r="D385" s="15">
        <v>1290.0</v>
      </c>
      <c r="E385" s="15">
        <v>6.0</v>
      </c>
      <c r="F385" s="15">
        <v>2.23</v>
      </c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</row>
    <row r="386" ht="19.5" customHeight="1">
      <c r="A386" s="15"/>
      <c r="B386" s="15">
        <v>2.0</v>
      </c>
      <c r="C386" s="15">
        <v>3.0</v>
      </c>
      <c r="D386" s="15">
        <v>1279.0</v>
      </c>
      <c r="E386" s="15">
        <v>12.0</v>
      </c>
      <c r="F386" s="15">
        <v>1.28</v>
      </c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</row>
    <row r="387" ht="19.5" customHeight="1">
      <c r="A387" s="15"/>
      <c r="B387" s="15">
        <v>2.0</v>
      </c>
      <c r="C387" s="15">
        <v>3.0</v>
      </c>
      <c r="D387" s="15">
        <v>1227.0</v>
      </c>
      <c r="E387" s="15">
        <v>17.0</v>
      </c>
      <c r="F387" s="15">
        <v>1.31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</row>
    <row r="388" ht="19.5" customHeight="1">
      <c r="A388" s="15"/>
      <c r="B388" s="15">
        <v>2.0</v>
      </c>
      <c r="C388" s="15">
        <v>3.0</v>
      </c>
      <c r="D388" s="15">
        <v>929.0</v>
      </c>
      <c r="E388" s="15">
        <v>10.0</v>
      </c>
      <c r="F388" s="15">
        <v>1.64</v>
      </c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</row>
    <row r="389" ht="19.5" customHeight="1">
      <c r="A389" s="15"/>
      <c r="B389" s="15">
        <v>2.0</v>
      </c>
      <c r="C389" s="15">
        <v>3.0</v>
      </c>
      <c r="D389" s="15">
        <v>902.0</v>
      </c>
      <c r="E389" s="15">
        <v>11.0</v>
      </c>
      <c r="F389" s="15">
        <v>2.74</v>
      </c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</row>
    <row r="390" ht="19.5" customHeight="1">
      <c r="A390" s="15"/>
      <c r="B390" s="15">
        <v>2.0</v>
      </c>
      <c r="C390" s="15">
        <v>3.0</v>
      </c>
      <c r="D390" s="15">
        <v>1108.0</v>
      </c>
      <c r="E390" s="15">
        <v>10.0</v>
      </c>
      <c r="F390" s="15">
        <v>2.21</v>
      </c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</row>
    <row r="391" ht="19.5" customHeight="1">
      <c r="A391" s="15"/>
      <c r="B391" s="15">
        <v>2.0</v>
      </c>
      <c r="C391" s="15">
        <v>3.0</v>
      </c>
      <c r="D391" s="15">
        <v>1466.0</v>
      </c>
      <c r="E391" s="15">
        <v>16.0</v>
      </c>
      <c r="F391" s="15">
        <v>1.48</v>
      </c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</row>
    <row r="392" ht="19.5" customHeight="1">
      <c r="A392" s="15"/>
      <c r="B392" s="15">
        <v>2.0</v>
      </c>
      <c r="C392" s="15">
        <v>3.0</v>
      </c>
      <c r="D392" s="15">
        <v>1259.0</v>
      </c>
      <c r="E392" s="15">
        <v>20.0</v>
      </c>
      <c r="F392" s="15">
        <v>0.88</v>
      </c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</row>
    <row r="393" ht="19.5" customHeight="1">
      <c r="A393" s="15"/>
      <c r="B393" s="15">
        <v>2.0</v>
      </c>
      <c r="C393" s="15">
        <v>3.0</v>
      </c>
      <c r="D393" s="15">
        <v>657.0</v>
      </c>
      <c r="E393" s="15">
        <v>17.0</v>
      </c>
      <c r="F393" s="15">
        <v>2.07</v>
      </c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</row>
    <row r="394" ht="19.5" customHeight="1">
      <c r="A394" s="15"/>
      <c r="B394" s="15">
        <v>2.0</v>
      </c>
      <c r="C394" s="15">
        <v>3.0</v>
      </c>
      <c r="D394" s="15">
        <v>824.0</v>
      </c>
      <c r="E394" s="15">
        <v>16.0</v>
      </c>
      <c r="F394" s="15">
        <v>0.68</v>
      </c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</row>
    <row r="395" ht="19.5" customHeight="1">
      <c r="A395" s="15"/>
      <c r="B395" s="15">
        <v>2.0</v>
      </c>
      <c r="C395" s="15">
        <v>3.0</v>
      </c>
      <c r="D395" s="15">
        <v>1205.0</v>
      </c>
      <c r="E395" s="15">
        <v>13.0</v>
      </c>
      <c r="F395" s="15">
        <v>0.95</v>
      </c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</row>
    <row r="396" ht="19.5" customHeight="1">
      <c r="A396" s="15"/>
      <c r="B396" s="15">
        <v>2.0</v>
      </c>
      <c r="C396" s="15">
        <v>3.0</v>
      </c>
      <c r="D396" s="15">
        <v>1232.0</v>
      </c>
      <c r="E396" s="15">
        <v>12.0</v>
      </c>
      <c r="F396" s="15">
        <v>2.12</v>
      </c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</row>
    <row r="397" ht="19.5" customHeight="1">
      <c r="A397" s="15"/>
      <c r="B397" s="15">
        <v>2.0</v>
      </c>
      <c r="C397" s="15">
        <v>3.0</v>
      </c>
      <c r="D397" s="15">
        <v>1397.0</v>
      </c>
      <c r="E397" s="15">
        <v>11.0</v>
      </c>
      <c r="F397" s="15">
        <v>1.42</v>
      </c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</row>
    <row r="398" ht="19.5" customHeight="1">
      <c r="A398" s="15"/>
      <c r="B398" s="15">
        <v>2.0</v>
      </c>
      <c r="C398" s="15">
        <v>3.0</v>
      </c>
      <c r="D398" s="15">
        <v>1396.0</v>
      </c>
      <c r="E398" s="15">
        <v>10.0</v>
      </c>
      <c r="F398" s="15">
        <v>0.92</v>
      </c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</row>
    <row r="399" ht="19.5" customHeight="1">
      <c r="A399" s="15"/>
      <c r="B399" s="15">
        <v>2.0</v>
      </c>
      <c r="C399" s="15">
        <v>3.0</v>
      </c>
      <c r="D399" s="15">
        <v>1105.0</v>
      </c>
      <c r="E399" s="15">
        <v>13.0</v>
      </c>
      <c r="F399" s="15">
        <v>0.89</v>
      </c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</row>
    <row r="400" ht="19.5" customHeight="1">
      <c r="A400" s="15"/>
      <c r="B400" s="15">
        <v>2.0</v>
      </c>
      <c r="C400" s="15">
        <v>3.0</v>
      </c>
      <c r="D400" s="15">
        <v>1577.0</v>
      </c>
      <c r="E400" s="15">
        <v>13.0</v>
      </c>
      <c r="F400" s="15">
        <v>1.43</v>
      </c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ht="19.5" customHeight="1">
      <c r="A401" s="15"/>
      <c r="B401" s="15">
        <v>2.0</v>
      </c>
      <c r="C401" s="15">
        <v>3.0</v>
      </c>
      <c r="D401" s="15">
        <v>1407.0</v>
      </c>
      <c r="E401" s="15">
        <v>12.0</v>
      </c>
      <c r="F401" s="15">
        <v>2.03</v>
      </c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 ht="19.5" customHeight="1">
      <c r="A402" s="15"/>
      <c r="B402" s="15">
        <v>2.0</v>
      </c>
      <c r="C402" s="15">
        <v>3.0</v>
      </c>
      <c r="D402" s="15">
        <v>1760.0</v>
      </c>
      <c r="E402" s="15">
        <v>12.0</v>
      </c>
      <c r="F402" s="15">
        <v>2.05</v>
      </c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ht="19.5" customHeight="1">
      <c r="A403" s="15"/>
      <c r="B403" s="15">
        <v>2.0</v>
      </c>
      <c r="C403" s="15">
        <v>3.0</v>
      </c>
      <c r="D403" s="15">
        <v>828.0</v>
      </c>
      <c r="E403" s="15">
        <v>19.0</v>
      </c>
      <c r="F403" s="15">
        <v>1.42</v>
      </c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 ht="19.5" customHeight="1">
      <c r="A404" s="15"/>
      <c r="B404" s="15">
        <v>2.0</v>
      </c>
      <c r="C404" s="15">
        <v>3.0</v>
      </c>
      <c r="D404" s="15">
        <v>1249.0</v>
      </c>
      <c r="E404" s="15">
        <v>11.0</v>
      </c>
      <c r="F404" s="15">
        <v>0.75</v>
      </c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 ht="19.5" customHeight="1">
      <c r="A405" s="15"/>
      <c r="B405" s="15">
        <v>2.0</v>
      </c>
      <c r="C405" s="15">
        <v>3.0</v>
      </c>
      <c r="D405" s="15">
        <v>1019.0</v>
      </c>
      <c r="E405" s="15">
        <v>20.0</v>
      </c>
      <c r="F405" s="15">
        <v>1.57</v>
      </c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 ht="19.5" customHeight="1">
      <c r="A406" s="15"/>
      <c r="B406" s="15">
        <v>2.0</v>
      </c>
      <c r="C406" s="15">
        <v>3.0</v>
      </c>
      <c r="D406" s="15">
        <v>805.0</v>
      </c>
      <c r="E406" s="15">
        <v>16.0</v>
      </c>
      <c r="F406" s="15">
        <v>0.86</v>
      </c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 ht="19.5" customHeight="1">
      <c r="A407" s="15"/>
      <c r="B407" s="15">
        <v>2.0</v>
      </c>
      <c r="C407" s="15">
        <v>3.0</v>
      </c>
      <c r="D407" s="15">
        <v>510.0</v>
      </c>
      <c r="E407" s="15">
        <v>12.0</v>
      </c>
      <c r="F407" s="15">
        <v>0.58</v>
      </c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 ht="19.5" customHeight="1">
      <c r="A408" s="15"/>
      <c r="B408" s="15">
        <v>2.0</v>
      </c>
      <c r="C408" s="15">
        <v>3.0</v>
      </c>
      <c r="D408" s="15">
        <v>1291.0</v>
      </c>
      <c r="E408" s="15">
        <v>13.0</v>
      </c>
      <c r="F408" s="15">
        <v>1.77</v>
      </c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 ht="19.5" customHeight="1">
      <c r="A409" s="15"/>
      <c r="B409" s="15">
        <v>2.0</v>
      </c>
      <c r="C409" s="15">
        <v>3.0</v>
      </c>
      <c r="D409" s="15">
        <v>823.0</v>
      </c>
      <c r="E409" s="15">
        <v>5.0</v>
      </c>
      <c r="F409" s="15">
        <v>1.92</v>
      </c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 ht="19.5" customHeight="1">
      <c r="A410" s="15"/>
      <c r="B410" s="15">
        <v>2.0</v>
      </c>
      <c r="C410" s="15">
        <v>3.0</v>
      </c>
      <c r="D410" s="15">
        <v>1783.0</v>
      </c>
      <c r="E410" s="15">
        <v>7.0</v>
      </c>
      <c r="F410" s="15">
        <v>0.67</v>
      </c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ht="19.5" customHeight="1">
      <c r="A411" s="15"/>
      <c r="B411" s="15">
        <v>2.0</v>
      </c>
      <c r="C411" s="15">
        <v>3.0</v>
      </c>
      <c r="D411" s="15">
        <v>556.0</v>
      </c>
      <c r="E411" s="15">
        <v>15.0</v>
      </c>
      <c r="F411" s="15">
        <v>0.05</v>
      </c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 ht="19.5" customHeight="1">
      <c r="A412" s="15"/>
      <c r="B412" s="15">
        <v>2.0</v>
      </c>
      <c r="C412" s="15">
        <v>3.0</v>
      </c>
      <c r="D412" s="15">
        <v>1474.0</v>
      </c>
      <c r="E412" s="15">
        <v>17.0</v>
      </c>
      <c r="F412" s="15">
        <v>0.0</v>
      </c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 ht="19.5" customHeight="1">
      <c r="A413" s="15"/>
      <c r="B413" s="15">
        <v>2.0</v>
      </c>
      <c r="C413" s="15">
        <v>3.0</v>
      </c>
      <c r="D413" s="15">
        <v>1255.0</v>
      </c>
      <c r="E413" s="15">
        <v>15.0</v>
      </c>
      <c r="F413" s="15">
        <v>1.45</v>
      </c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 ht="19.5" customHeight="1">
      <c r="A414" s="15"/>
      <c r="B414" s="15">
        <v>2.0</v>
      </c>
      <c r="C414" s="15">
        <v>3.0</v>
      </c>
      <c r="D414" s="15">
        <v>1619.0</v>
      </c>
      <c r="E414" s="15">
        <v>17.0</v>
      </c>
      <c r="F414" s="15">
        <v>0.86</v>
      </c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ht="19.5" customHeight="1">
      <c r="A415" s="15"/>
      <c r="B415" s="15">
        <v>2.0</v>
      </c>
      <c r="C415" s="15">
        <v>3.0</v>
      </c>
      <c r="D415" s="15">
        <v>1802.0</v>
      </c>
      <c r="E415" s="15">
        <v>13.0</v>
      </c>
      <c r="F415" s="15">
        <v>1.68</v>
      </c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 ht="19.5" customHeight="1">
      <c r="A416" s="15"/>
      <c r="B416" s="15">
        <v>2.0</v>
      </c>
      <c r="C416" s="15">
        <v>3.0</v>
      </c>
      <c r="D416" s="15">
        <v>960.0</v>
      </c>
      <c r="E416" s="15">
        <v>11.0</v>
      </c>
      <c r="F416" s="15">
        <v>2.02</v>
      </c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 ht="19.5" customHeight="1">
      <c r="A417" s="15"/>
      <c r="B417" s="15">
        <v>2.0</v>
      </c>
      <c r="C417" s="15">
        <v>3.0</v>
      </c>
      <c r="D417" s="15">
        <v>1214.0</v>
      </c>
      <c r="E417" s="15">
        <v>11.0</v>
      </c>
      <c r="F417" s="15">
        <v>1.53</v>
      </c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  <row r="418" ht="19.5" customHeight="1">
      <c r="A418" s="15"/>
      <c r="B418" s="15">
        <v>2.0</v>
      </c>
      <c r="C418" s="15">
        <v>3.0</v>
      </c>
      <c r="D418" s="15">
        <v>1216.0</v>
      </c>
      <c r="E418" s="15">
        <v>17.0</v>
      </c>
      <c r="F418" s="15">
        <v>1.35</v>
      </c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</row>
    <row r="419" ht="19.5" customHeight="1">
      <c r="A419" s="15"/>
      <c r="B419" s="15">
        <v>2.0</v>
      </c>
      <c r="C419" s="15">
        <v>3.0</v>
      </c>
      <c r="D419" s="15">
        <v>1397.0</v>
      </c>
      <c r="E419" s="15">
        <v>1.0</v>
      </c>
      <c r="F419" s="15">
        <v>1.97</v>
      </c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</row>
    <row r="420" ht="19.5" customHeight="1">
      <c r="A420" s="15"/>
      <c r="B420" s="15">
        <v>2.0</v>
      </c>
      <c r="C420" s="15">
        <v>3.0</v>
      </c>
      <c r="D420" s="15">
        <v>891.0</v>
      </c>
      <c r="E420" s="15">
        <v>25.0</v>
      </c>
      <c r="F420" s="15">
        <v>0.81</v>
      </c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</row>
    <row r="421" ht="19.5" customHeight="1">
      <c r="A421" s="15"/>
      <c r="B421" s="15">
        <v>2.0</v>
      </c>
      <c r="C421" s="15">
        <v>3.0</v>
      </c>
      <c r="D421" s="15">
        <v>1371.0</v>
      </c>
      <c r="E421" s="15">
        <v>13.0</v>
      </c>
      <c r="F421" s="15">
        <v>1.0</v>
      </c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</row>
    <row r="422" ht="19.5" customHeight="1">
      <c r="A422" s="15"/>
      <c r="B422" s="15">
        <v>2.0</v>
      </c>
      <c r="C422" s="15">
        <v>3.0</v>
      </c>
      <c r="D422" s="15">
        <v>1818.0</v>
      </c>
      <c r="E422" s="15">
        <v>8.0</v>
      </c>
      <c r="F422" s="15">
        <v>0.32</v>
      </c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</row>
    <row r="423" ht="19.5" customHeight="1">
      <c r="A423" s="15"/>
      <c r="B423" s="15">
        <v>2.0</v>
      </c>
      <c r="C423" s="15">
        <v>3.0</v>
      </c>
      <c r="D423" s="15">
        <v>1311.0</v>
      </c>
      <c r="E423" s="15">
        <v>3.0</v>
      </c>
      <c r="F423" s="15">
        <v>0.98</v>
      </c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</row>
    <row r="424" ht="19.5" customHeight="1">
      <c r="A424" s="15"/>
      <c r="B424" s="15">
        <v>2.0</v>
      </c>
      <c r="C424" s="15">
        <v>3.0</v>
      </c>
      <c r="D424" s="15">
        <v>1825.0</v>
      </c>
      <c r="E424" s="15">
        <v>17.0</v>
      </c>
      <c r="F424" s="15">
        <v>1.12</v>
      </c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</row>
    <row r="425" ht="19.5" customHeight="1">
      <c r="A425" s="15"/>
      <c r="B425" s="15">
        <v>2.0</v>
      </c>
      <c r="C425" s="15">
        <v>3.0</v>
      </c>
      <c r="D425" s="15">
        <v>1812.0</v>
      </c>
      <c r="E425" s="15">
        <v>15.0</v>
      </c>
      <c r="F425" s="15">
        <v>2.03</v>
      </c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</row>
    <row r="426" ht="19.5" customHeight="1">
      <c r="A426" s="15"/>
      <c r="B426" s="15">
        <v>2.0</v>
      </c>
      <c r="C426" s="15">
        <v>3.0</v>
      </c>
      <c r="D426" s="15">
        <v>948.0</v>
      </c>
      <c r="E426" s="15">
        <v>14.0</v>
      </c>
      <c r="F426" s="15">
        <v>1.98</v>
      </c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</row>
    <row r="427" ht="19.5" customHeight="1">
      <c r="A427" s="15"/>
      <c r="B427" s="15">
        <v>2.0</v>
      </c>
      <c r="C427" s="15">
        <v>3.0</v>
      </c>
      <c r="D427" s="15">
        <v>1319.0</v>
      </c>
      <c r="E427" s="15">
        <v>8.0</v>
      </c>
      <c r="F427" s="15">
        <v>1.18</v>
      </c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</row>
    <row r="428" ht="19.5" customHeight="1">
      <c r="A428" s="15"/>
      <c r="B428" s="15">
        <v>2.0</v>
      </c>
      <c r="C428" s="15">
        <v>3.0</v>
      </c>
      <c r="D428" s="15">
        <v>1299.0</v>
      </c>
      <c r="E428" s="15">
        <v>19.0</v>
      </c>
      <c r="F428" s="15">
        <v>0.0</v>
      </c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</row>
    <row r="429" ht="19.5" customHeight="1">
      <c r="A429" s="15"/>
      <c r="B429" s="15">
        <v>2.0</v>
      </c>
      <c r="C429" s="15">
        <v>3.0</v>
      </c>
      <c r="D429" s="15">
        <v>814.0</v>
      </c>
      <c r="E429" s="15">
        <v>14.0</v>
      </c>
      <c r="F429" s="15">
        <v>0.86</v>
      </c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</row>
    <row r="430" ht="19.5" customHeight="1">
      <c r="A430" s="15"/>
      <c r="B430" s="15">
        <v>2.0</v>
      </c>
      <c r="C430" s="15">
        <v>3.0</v>
      </c>
      <c r="D430" s="15">
        <v>1031.0</v>
      </c>
      <c r="E430" s="15">
        <v>12.0</v>
      </c>
      <c r="F430" s="15">
        <v>0.77</v>
      </c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</row>
    <row r="431" ht="19.5" customHeight="1">
      <c r="A431" s="15"/>
      <c r="B431" s="15">
        <v>2.0</v>
      </c>
      <c r="C431" s="15">
        <v>3.0</v>
      </c>
      <c r="D431" s="15">
        <v>1044.0</v>
      </c>
      <c r="E431" s="15">
        <v>6.0</v>
      </c>
      <c r="F431" s="15">
        <v>2.42</v>
      </c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</row>
    <row r="432" ht="19.5" customHeight="1">
      <c r="A432" s="15"/>
      <c r="B432" s="15">
        <v>2.0</v>
      </c>
      <c r="C432" s="15">
        <v>3.0</v>
      </c>
      <c r="D432" s="15">
        <v>1760.0</v>
      </c>
      <c r="E432" s="15">
        <v>10.0</v>
      </c>
      <c r="F432" s="15">
        <v>2.47</v>
      </c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</row>
    <row r="433" ht="19.5" customHeight="1">
      <c r="A433" s="15"/>
      <c r="B433" s="15">
        <v>2.0</v>
      </c>
      <c r="C433" s="15">
        <v>3.0</v>
      </c>
      <c r="D433" s="15">
        <v>1564.0</v>
      </c>
      <c r="E433" s="15">
        <v>13.0</v>
      </c>
      <c r="F433" s="15">
        <v>0.67</v>
      </c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</row>
    <row r="434" ht="19.5" customHeight="1">
      <c r="A434" s="15"/>
      <c r="B434" s="15">
        <v>2.0</v>
      </c>
      <c r="C434" s="15">
        <v>3.0</v>
      </c>
      <c r="D434" s="15">
        <v>788.0</v>
      </c>
      <c r="E434" s="15">
        <v>14.0</v>
      </c>
      <c r="F434" s="15">
        <v>1.27</v>
      </c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</row>
    <row r="435" ht="19.5" customHeight="1">
      <c r="A435" s="15"/>
      <c r="B435" s="15">
        <v>2.0</v>
      </c>
      <c r="C435" s="15">
        <v>3.0</v>
      </c>
      <c r="D435" s="15">
        <v>1476.0</v>
      </c>
      <c r="E435" s="15">
        <v>11.0</v>
      </c>
      <c r="F435" s="15">
        <v>1.36</v>
      </c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</row>
    <row r="436" ht="19.5" customHeight="1">
      <c r="A436" s="15"/>
      <c r="B436" s="15">
        <v>2.0</v>
      </c>
      <c r="C436" s="15">
        <v>3.0</v>
      </c>
      <c r="D436" s="15">
        <v>1022.0</v>
      </c>
      <c r="E436" s="15">
        <v>9.0</v>
      </c>
      <c r="F436" s="15">
        <v>2.53</v>
      </c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</row>
    <row r="437" ht="19.5" customHeight="1">
      <c r="A437" s="15"/>
      <c r="B437" s="15">
        <v>2.0</v>
      </c>
      <c r="C437" s="15">
        <v>3.0</v>
      </c>
      <c r="D437" s="15">
        <v>979.0</v>
      </c>
      <c r="E437" s="15">
        <v>11.0</v>
      </c>
      <c r="F437" s="15">
        <v>2.36</v>
      </c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</row>
    <row r="438" ht="19.5" customHeight="1">
      <c r="A438" s="15"/>
      <c r="B438" s="15">
        <v>2.0</v>
      </c>
      <c r="C438" s="15">
        <v>3.0</v>
      </c>
      <c r="D438" s="15">
        <v>1387.0</v>
      </c>
      <c r="E438" s="15">
        <v>15.0</v>
      </c>
      <c r="F438" s="15">
        <v>1.8</v>
      </c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</row>
    <row r="439" ht="19.5" customHeight="1">
      <c r="A439" s="15"/>
      <c r="B439" s="15">
        <v>2.0</v>
      </c>
      <c r="C439" s="15">
        <v>3.0</v>
      </c>
      <c r="D439" s="15">
        <v>1332.0</v>
      </c>
      <c r="E439" s="15">
        <v>13.0</v>
      </c>
      <c r="F439" s="15">
        <v>0.0</v>
      </c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</row>
    <row r="440" ht="19.5" customHeight="1">
      <c r="A440" s="15"/>
      <c r="B440" s="15">
        <v>2.0</v>
      </c>
      <c r="C440" s="15">
        <v>3.0</v>
      </c>
      <c r="D440" s="15">
        <v>1241.0</v>
      </c>
      <c r="E440" s="15">
        <v>7.0</v>
      </c>
      <c r="F440" s="15">
        <v>0.74</v>
      </c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</row>
    <row r="441" ht="19.5" customHeight="1">
      <c r="A441" s="15"/>
      <c r="B441" s="15">
        <v>2.0</v>
      </c>
      <c r="C441" s="15">
        <v>3.0</v>
      </c>
      <c r="D441" s="15">
        <v>1020.0</v>
      </c>
      <c r="E441" s="15">
        <v>5.0</v>
      </c>
      <c r="F441" s="15">
        <v>0.96</v>
      </c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</row>
    <row r="442" ht="19.5" customHeight="1">
      <c r="A442" s="15"/>
      <c r="B442" s="15">
        <v>2.0</v>
      </c>
      <c r="C442" s="15">
        <v>3.0</v>
      </c>
      <c r="D442" s="15">
        <v>918.0</v>
      </c>
      <c r="E442" s="15">
        <v>8.0</v>
      </c>
      <c r="F442" s="15">
        <v>3.29</v>
      </c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</row>
    <row r="443" ht="19.5" customHeight="1">
      <c r="A443" s="15"/>
      <c r="B443" s="15">
        <v>2.0</v>
      </c>
      <c r="C443" s="15">
        <v>3.0</v>
      </c>
      <c r="D443" s="15">
        <v>1204.0</v>
      </c>
      <c r="E443" s="15">
        <v>5.0</v>
      </c>
      <c r="F443" s="15">
        <v>0.96</v>
      </c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</row>
    <row r="444" ht="19.5" customHeight="1">
      <c r="A444" s="15"/>
      <c r="B444" s="15">
        <v>2.0</v>
      </c>
      <c r="C444" s="15">
        <v>3.0</v>
      </c>
      <c r="D444" s="15">
        <v>1373.0</v>
      </c>
      <c r="E444" s="15">
        <v>10.0</v>
      </c>
      <c r="F444" s="15">
        <v>0.88</v>
      </c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</row>
    <row r="445" ht="19.5" customHeight="1">
      <c r="A445" s="15"/>
      <c r="B445" s="15">
        <v>2.0</v>
      </c>
      <c r="C445" s="15">
        <v>3.0</v>
      </c>
      <c r="D445" s="15">
        <v>1243.0</v>
      </c>
      <c r="E445" s="15">
        <v>14.0</v>
      </c>
      <c r="F445" s="15">
        <v>0.57</v>
      </c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</row>
    <row r="446" ht="19.5" customHeight="1">
      <c r="A446" s="15"/>
      <c r="B446" s="15">
        <v>2.0</v>
      </c>
      <c r="C446" s="15">
        <v>3.0</v>
      </c>
      <c r="D446" s="15">
        <v>1552.0</v>
      </c>
      <c r="E446" s="15">
        <v>1.0</v>
      </c>
      <c r="F446" s="15">
        <v>0.62</v>
      </c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</row>
    <row r="447" ht="19.5" customHeight="1">
      <c r="A447" s="15"/>
      <c r="B447" s="15">
        <v>2.0</v>
      </c>
      <c r="C447" s="15">
        <v>3.0</v>
      </c>
      <c r="D447" s="15">
        <v>1415.0</v>
      </c>
      <c r="E447" s="15">
        <v>10.0</v>
      </c>
      <c r="F447" s="15">
        <v>1.0</v>
      </c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</row>
    <row r="448" ht="19.5" customHeight="1">
      <c r="A448" s="15"/>
      <c r="B448" s="15">
        <v>2.0</v>
      </c>
      <c r="C448" s="15">
        <v>3.0</v>
      </c>
      <c r="D448" s="15">
        <v>1346.0</v>
      </c>
      <c r="E448" s="15">
        <v>11.0</v>
      </c>
      <c r="F448" s="15">
        <v>0.21</v>
      </c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</row>
    <row r="449" ht="19.5" customHeight="1">
      <c r="A449" s="15"/>
      <c r="B449" s="15">
        <v>2.0</v>
      </c>
      <c r="C449" s="15">
        <v>3.0</v>
      </c>
      <c r="D449" s="15">
        <v>1018.0</v>
      </c>
      <c r="E449" s="15">
        <v>16.0</v>
      </c>
      <c r="F449" s="15">
        <v>0.0</v>
      </c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</row>
    <row r="450" ht="19.5" customHeight="1">
      <c r="A450" s="15"/>
      <c r="B450" s="15">
        <v>2.0</v>
      </c>
      <c r="C450" s="15">
        <v>3.0</v>
      </c>
      <c r="D450" s="15">
        <v>1009.0</v>
      </c>
      <c r="E450" s="15">
        <v>10.0</v>
      </c>
      <c r="F450" s="15">
        <v>1.71</v>
      </c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</row>
    <row r="451" ht="19.5" customHeight="1">
      <c r="A451" s="15"/>
      <c r="B451" s="15">
        <v>2.0</v>
      </c>
      <c r="C451" s="15">
        <v>3.0</v>
      </c>
      <c r="D451" s="15">
        <v>1287.0</v>
      </c>
      <c r="E451" s="15">
        <v>13.0</v>
      </c>
      <c r="F451" s="15">
        <v>0.62</v>
      </c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</row>
    <row r="452" ht="19.5" customHeight="1">
      <c r="A452" s="15"/>
      <c r="B452" s="15">
        <v>2.0</v>
      </c>
      <c r="C452" s="15">
        <v>3.0</v>
      </c>
      <c r="D452" s="15">
        <v>1654.0</v>
      </c>
      <c r="E452" s="15">
        <v>15.0</v>
      </c>
      <c r="F452" s="15">
        <v>0.54</v>
      </c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</row>
    <row r="453" ht="19.5" customHeight="1">
      <c r="A453" s="15"/>
      <c r="B453" s="15">
        <v>2.0</v>
      </c>
      <c r="C453" s="15">
        <v>3.0</v>
      </c>
      <c r="D453" s="15">
        <v>1324.0</v>
      </c>
      <c r="E453" s="15">
        <v>8.0</v>
      </c>
      <c r="F453" s="15">
        <v>1.56</v>
      </c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</row>
    <row r="454" ht="19.5" customHeight="1">
      <c r="A454" s="15"/>
      <c r="B454" s="15">
        <v>2.0</v>
      </c>
      <c r="C454" s="15">
        <v>3.0</v>
      </c>
      <c r="D454" s="15">
        <v>809.0</v>
      </c>
      <c r="E454" s="15">
        <v>19.0</v>
      </c>
      <c r="F454" s="15">
        <v>1.42</v>
      </c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</row>
    <row r="455" ht="19.5" customHeight="1">
      <c r="A455" s="15"/>
      <c r="B455" s="15">
        <v>2.0</v>
      </c>
      <c r="C455" s="15">
        <v>3.0</v>
      </c>
      <c r="D455" s="15">
        <v>1457.0</v>
      </c>
      <c r="E455" s="15">
        <v>21.0</v>
      </c>
      <c r="F455" s="15">
        <v>1.83</v>
      </c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</row>
    <row r="456" ht="19.5" customHeight="1">
      <c r="A456" s="15"/>
      <c r="B456" s="15">
        <v>2.0</v>
      </c>
      <c r="C456" s="15">
        <v>3.0</v>
      </c>
      <c r="D456" s="15">
        <v>986.0</v>
      </c>
      <c r="E456" s="15">
        <v>19.0</v>
      </c>
      <c r="F456" s="15">
        <v>1.84</v>
      </c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</row>
    <row r="457" ht="19.5" customHeight="1">
      <c r="A457" s="15"/>
      <c r="B457" s="15">
        <v>2.0</v>
      </c>
      <c r="C457" s="15">
        <v>3.0</v>
      </c>
      <c r="D457" s="15">
        <v>1824.0</v>
      </c>
      <c r="E457" s="15">
        <v>11.0</v>
      </c>
      <c r="F457" s="15">
        <v>0.75</v>
      </c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</row>
    <row r="458" ht="19.5" customHeight="1">
      <c r="A458" s="15"/>
      <c r="B458" s="15">
        <v>2.0</v>
      </c>
      <c r="C458" s="15">
        <v>3.0</v>
      </c>
      <c r="D458" s="15">
        <v>1698.0</v>
      </c>
      <c r="E458" s="15">
        <v>12.0</v>
      </c>
      <c r="F458" s="15">
        <v>0.59</v>
      </c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</row>
    <row r="459" ht="19.5" customHeight="1">
      <c r="A459" s="15"/>
      <c r="B459" s="15">
        <v>2.0</v>
      </c>
      <c r="C459" s="15">
        <v>3.0</v>
      </c>
      <c r="D459" s="15">
        <v>1119.0</v>
      </c>
      <c r="E459" s="15">
        <v>10.0</v>
      </c>
      <c r="F459" s="15">
        <v>1.2</v>
      </c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</row>
    <row r="460" ht="19.5" customHeight="1">
      <c r="A460" s="15"/>
      <c r="B460" s="15">
        <v>2.0</v>
      </c>
      <c r="C460" s="15">
        <v>3.0</v>
      </c>
      <c r="D460" s="15">
        <v>680.0</v>
      </c>
      <c r="E460" s="15">
        <v>13.0</v>
      </c>
      <c r="F460" s="15">
        <v>2.69</v>
      </c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</row>
    <row r="461" ht="19.5" customHeight="1">
      <c r="A461" s="15"/>
      <c r="B461" s="15">
        <v>2.0</v>
      </c>
      <c r="C461" s="15">
        <v>3.0</v>
      </c>
      <c r="D461" s="15">
        <v>1242.0</v>
      </c>
      <c r="E461" s="15">
        <v>18.0</v>
      </c>
      <c r="F461" s="15">
        <v>0.95</v>
      </c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</row>
    <row r="462" ht="19.5" customHeight="1">
      <c r="A462" s="15"/>
      <c r="B462" s="15">
        <v>2.0</v>
      </c>
      <c r="C462" s="15">
        <v>3.0</v>
      </c>
      <c r="D462" s="15">
        <v>1294.0</v>
      </c>
      <c r="E462" s="15">
        <v>9.0</v>
      </c>
      <c r="F462" s="15">
        <v>2.17</v>
      </c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</row>
    <row r="463" ht="19.5" customHeight="1">
      <c r="A463" s="15"/>
      <c r="B463" s="15">
        <v>2.0</v>
      </c>
      <c r="C463" s="15">
        <v>3.0</v>
      </c>
      <c r="D463" s="15">
        <v>958.0</v>
      </c>
      <c r="E463" s="15">
        <v>16.0</v>
      </c>
      <c r="F463" s="15">
        <v>1.28</v>
      </c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</row>
    <row r="464" ht="19.5" customHeight="1">
      <c r="A464" s="15"/>
      <c r="B464" s="15">
        <v>2.0</v>
      </c>
      <c r="C464" s="15">
        <v>3.0</v>
      </c>
      <c r="D464" s="15">
        <v>1704.0</v>
      </c>
      <c r="E464" s="15">
        <v>6.0</v>
      </c>
      <c r="F464" s="15">
        <v>1.54</v>
      </c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</row>
    <row r="465" ht="19.5" customHeight="1">
      <c r="A465" s="15"/>
      <c r="B465" s="15">
        <v>2.0</v>
      </c>
      <c r="C465" s="15">
        <v>3.0</v>
      </c>
      <c r="D465" s="15">
        <v>1028.0</v>
      </c>
      <c r="E465" s="15">
        <v>7.0</v>
      </c>
      <c r="F465" s="15">
        <v>0.83</v>
      </c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</row>
    <row r="466" ht="19.5" customHeight="1">
      <c r="A466" s="15"/>
      <c r="B466" s="15">
        <v>2.0</v>
      </c>
      <c r="C466" s="15">
        <v>3.0</v>
      </c>
      <c r="D466" s="15">
        <v>1127.0</v>
      </c>
      <c r="E466" s="15">
        <v>7.0</v>
      </c>
      <c r="F466" s="15">
        <v>2.08</v>
      </c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</row>
    <row r="467" ht="19.5" customHeight="1">
      <c r="A467" s="15"/>
      <c r="B467" s="15">
        <v>2.0</v>
      </c>
      <c r="C467" s="15">
        <v>3.0</v>
      </c>
      <c r="D467" s="15">
        <v>979.0</v>
      </c>
      <c r="E467" s="15">
        <v>8.0</v>
      </c>
      <c r="F467" s="15">
        <v>2.3</v>
      </c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</row>
    <row r="468" ht="19.5" customHeight="1">
      <c r="A468" s="15"/>
      <c r="B468" s="15">
        <v>2.0</v>
      </c>
      <c r="C468" s="15">
        <v>3.0</v>
      </c>
      <c r="D468" s="15">
        <v>427.0</v>
      </c>
      <c r="E468" s="15">
        <v>15.0</v>
      </c>
      <c r="F468" s="15">
        <v>2.06</v>
      </c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</row>
    <row r="469" ht="19.5" customHeight="1">
      <c r="A469" s="15"/>
      <c r="B469" s="15">
        <v>2.0</v>
      </c>
      <c r="C469" s="15">
        <v>3.0</v>
      </c>
      <c r="D469" s="15">
        <v>1731.0</v>
      </c>
      <c r="E469" s="15">
        <v>12.0</v>
      </c>
      <c r="F469" s="15">
        <v>1.4</v>
      </c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</row>
    <row r="470" ht="19.5" customHeight="1">
      <c r="A470" s="15"/>
      <c r="B470" s="15">
        <v>2.0</v>
      </c>
      <c r="C470" s="15">
        <v>3.0</v>
      </c>
      <c r="D470" s="15">
        <v>1058.0</v>
      </c>
      <c r="E470" s="15">
        <v>17.0</v>
      </c>
      <c r="F470" s="15">
        <v>1.62</v>
      </c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</row>
    <row r="471" ht="19.5" customHeight="1">
      <c r="A471" s="15"/>
      <c r="B471" s="15">
        <v>2.0</v>
      </c>
      <c r="C471" s="15">
        <v>3.0</v>
      </c>
      <c r="D471" s="15">
        <v>1070.0</v>
      </c>
      <c r="E471" s="15">
        <v>16.0</v>
      </c>
      <c r="F471" s="15">
        <v>1.18</v>
      </c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</row>
    <row r="472" ht="19.5" customHeight="1">
      <c r="A472" s="15"/>
      <c r="B472" s="15">
        <v>2.0</v>
      </c>
      <c r="C472" s="15">
        <v>3.0</v>
      </c>
      <c r="D472" s="15">
        <v>1354.0</v>
      </c>
      <c r="E472" s="15">
        <v>16.0</v>
      </c>
      <c r="F472" s="15">
        <v>1.36</v>
      </c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</row>
    <row r="473" ht="19.5" customHeight="1">
      <c r="A473" s="15"/>
      <c r="B473" s="15">
        <v>2.0</v>
      </c>
      <c r="C473" s="15">
        <v>3.0</v>
      </c>
      <c r="D473" s="15">
        <v>1050.0</v>
      </c>
      <c r="E473" s="15">
        <v>8.0</v>
      </c>
      <c r="F473" s="15">
        <v>1.57</v>
      </c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</row>
    <row r="474" ht="19.5" customHeight="1">
      <c r="A474" s="15"/>
      <c r="B474" s="15">
        <v>2.0</v>
      </c>
      <c r="C474" s="15">
        <v>3.0</v>
      </c>
      <c r="D474" s="15">
        <v>1095.0</v>
      </c>
      <c r="E474" s="15">
        <v>25.0</v>
      </c>
      <c r="F474" s="15">
        <v>1.04</v>
      </c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</row>
    <row r="475" ht="19.5" customHeight="1">
      <c r="A475" s="15"/>
      <c r="B475" s="15">
        <v>2.0</v>
      </c>
      <c r="C475" s="15">
        <v>3.0</v>
      </c>
      <c r="D475" s="15">
        <v>1198.0</v>
      </c>
      <c r="E475" s="15">
        <v>13.0</v>
      </c>
      <c r="F475" s="15">
        <v>1.31</v>
      </c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</row>
    <row r="476" ht="19.5" customHeight="1">
      <c r="A476" s="15"/>
      <c r="B476" s="15">
        <v>2.0</v>
      </c>
      <c r="C476" s="15">
        <v>3.0</v>
      </c>
      <c r="D476" s="15">
        <v>1241.0</v>
      </c>
      <c r="E476" s="15">
        <v>3.0</v>
      </c>
      <c r="F476" s="15">
        <v>0.43</v>
      </c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</row>
    <row r="477" ht="19.5" customHeight="1">
      <c r="A477" s="15"/>
      <c r="B477" s="15">
        <v>2.0</v>
      </c>
      <c r="C477" s="15">
        <v>3.0</v>
      </c>
      <c r="D477" s="15">
        <v>1156.0</v>
      </c>
      <c r="E477" s="15">
        <v>2.0</v>
      </c>
      <c r="F477" s="15">
        <v>2.23</v>
      </c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</row>
    <row r="478" ht="19.5" customHeight="1">
      <c r="A478" s="15"/>
      <c r="B478" s="15">
        <v>2.0</v>
      </c>
      <c r="C478" s="15">
        <v>3.0</v>
      </c>
      <c r="D478" s="15">
        <v>1142.0</v>
      </c>
      <c r="E478" s="15">
        <v>12.0</v>
      </c>
      <c r="F478" s="15">
        <v>0.18</v>
      </c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</row>
    <row r="479" ht="19.5" customHeight="1">
      <c r="A479" s="15"/>
      <c r="B479" s="15">
        <v>2.0</v>
      </c>
      <c r="C479" s="15">
        <v>3.0</v>
      </c>
      <c r="D479" s="15">
        <v>1072.0</v>
      </c>
      <c r="E479" s="15">
        <v>11.0</v>
      </c>
      <c r="F479" s="15">
        <v>2.37</v>
      </c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</row>
    <row r="480" ht="19.5" customHeight="1">
      <c r="A480" s="15"/>
      <c r="B480" s="15">
        <v>2.0</v>
      </c>
      <c r="C480" s="15">
        <v>3.0</v>
      </c>
      <c r="D480" s="15">
        <v>1060.0</v>
      </c>
      <c r="E480" s="15">
        <v>12.0</v>
      </c>
      <c r="F480" s="15">
        <v>1.49</v>
      </c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</row>
    <row r="481" ht="19.5" customHeight="1">
      <c r="A481" s="15"/>
      <c r="B481" s="15">
        <v>2.0</v>
      </c>
      <c r="C481" s="15">
        <v>3.0</v>
      </c>
      <c r="D481" s="15">
        <v>1216.0</v>
      </c>
      <c r="E481" s="15">
        <v>4.0</v>
      </c>
      <c r="F481" s="15">
        <v>1.99</v>
      </c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</row>
    <row r="482" ht="19.5" customHeight="1">
      <c r="A482" s="15"/>
      <c r="B482" s="15">
        <v>2.0</v>
      </c>
      <c r="C482" s="15">
        <v>3.0</v>
      </c>
      <c r="D482" s="15">
        <v>1261.0</v>
      </c>
      <c r="E482" s="15">
        <v>6.0</v>
      </c>
      <c r="F482" s="15">
        <v>1.88</v>
      </c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</row>
    <row r="483" ht="19.5" customHeight="1">
      <c r="A483" s="15"/>
      <c r="B483" s="15">
        <v>2.0</v>
      </c>
      <c r="C483" s="15">
        <v>3.0</v>
      </c>
      <c r="D483" s="15">
        <v>961.0</v>
      </c>
      <c r="E483" s="15">
        <v>15.0</v>
      </c>
      <c r="F483" s="15">
        <v>2.02</v>
      </c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</row>
    <row r="484" ht="19.5" customHeight="1">
      <c r="A484" s="15"/>
      <c r="B484" s="15">
        <v>2.0</v>
      </c>
      <c r="C484" s="15">
        <v>3.0</v>
      </c>
      <c r="D484" s="15">
        <v>1682.0</v>
      </c>
      <c r="E484" s="15">
        <v>1.0</v>
      </c>
      <c r="F484" s="15">
        <v>1.79</v>
      </c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</row>
    <row r="485" ht="19.5" customHeight="1">
      <c r="A485" s="15"/>
      <c r="B485" s="15">
        <v>2.0</v>
      </c>
      <c r="C485" s="15">
        <v>3.0</v>
      </c>
      <c r="D485" s="15">
        <v>1023.0</v>
      </c>
      <c r="E485" s="15">
        <v>9.0</v>
      </c>
      <c r="F485" s="15">
        <v>2.12</v>
      </c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</row>
    <row r="486" ht="19.5" customHeight="1">
      <c r="A486" s="15"/>
      <c r="B486" s="15">
        <v>2.0</v>
      </c>
      <c r="C486" s="15">
        <v>3.0</v>
      </c>
      <c r="D486" s="15">
        <v>470.0</v>
      </c>
      <c r="E486" s="15">
        <v>11.0</v>
      </c>
      <c r="F486" s="15">
        <v>2.5</v>
      </c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</row>
    <row r="487" ht="19.5" customHeight="1">
      <c r="A487" s="15"/>
      <c r="B487" s="15">
        <v>2.0</v>
      </c>
      <c r="C487" s="15">
        <v>3.0</v>
      </c>
      <c r="D487" s="15">
        <v>497.0</v>
      </c>
      <c r="E487" s="15">
        <v>15.0</v>
      </c>
      <c r="F487" s="15">
        <v>0.88</v>
      </c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</row>
    <row r="488" ht="19.5" customHeight="1">
      <c r="A488" s="15"/>
      <c r="B488" s="15">
        <v>2.0</v>
      </c>
      <c r="C488" s="15">
        <v>3.0</v>
      </c>
      <c r="D488" s="15">
        <v>593.0</v>
      </c>
      <c r="E488" s="15">
        <v>8.0</v>
      </c>
      <c r="F488" s="15">
        <v>1.87</v>
      </c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</row>
    <row r="489" ht="19.5" customHeight="1">
      <c r="A489" s="15"/>
      <c r="B489" s="15">
        <v>2.0</v>
      </c>
      <c r="C489" s="15">
        <v>3.0</v>
      </c>
      <c r="D489" s="15">
        <v>1035.0</v>
      </c>
      <c r="E489" s="15">
        <v>7.0</v>
      </c>
      <c r="F489" s="15">
        <v>1.8</v>
      </c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</row>
    <row r="490" ht="19.5" customHeight="1">
      <c r="A490" s="15"/>
      <c r="B490" s="15">
        <v>2.0</v>
      </c>
      <c r="C490" s="15">
        <v>3.0</v>
      </c>
      <c r="D490" s="15">
        <v>1369.0</v>
      </c>
      <c r="E490" s="15">
        <v>14.0</v>
      </c>
      <c r="F490" s="15">
        <v>1.69</v>
      </c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</row>
    <row r="491" ht="19.5" customHeight="1">
      <c r="A491" s="15"/>
      <c r="B491" s="15">
        <v>2.0</v>
      </c>
      <c r="C491" s="15">
        <v>3.0</v>
      </c>
      <c r="D491" s="15">
        <v>1007.0</v>
      </c>
      <c r="E491" s="15">
        <v>9.0</v>
      </c>
      <c r="F491" s="15">
        <v>2.29</v>
      </c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</row>
    <row r="492" ht="19.5" customHeight="1">
      <c r="A492" s="15"/>
      <c r="B492" s="15">
        <v>2.0</v>
      </c>
      <c r="C492" s="15">
        <v>3.0</v>
      </c>
      <c r="D492" s="15">
        <v>1374.0</v>
      </c>
      <c r="E492" s="15">
        <v>10.0</v>
      </c>
      <c r="F492" s="15">
        <v>0.23</v>
      </c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</row>
    <row r="493" ht="19.5" customHeight="1">
      <c r="A493" s="15"/>
      <c r="B493" s="15">
        <v>2.0</v>
      </c>
      <c r="C493" s="15">
        <v>3.0</v>
      </c>
      <c r="D493" s="15">
        <v>890.0</v>
      </c>
      <c r="E493" s="15">
        <v>13.0</v>
      </c>
      <c r="F493" s="15">
        <v>1.85</v>
      </c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</row>
    <row r="494" ht="19.5" customHeight="1">
      <c r="A494" s="15"/>
      <c r="B494" s="15">
        <v>2.0</v>
      </c>
      <c r="C494" s="15">
        <v>3.0</v>
      </c>
      <c r="D494" s="15">
        <v>2212.0</v>
      </c>
      <c r="E494" s="15">
        <v>12.0</v>
      </c>
      <c r="F494" s="15">
        <v>0.0</v>
      </c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</row>
    <row r="495" ht="19.5" customHeight="1">
      <c r="A495" s="15"/>
      <c r="B495" s="15">
        <v>2.0</v>
      </c>
      <c r="C495" s="15">
        <v>3.0</v>
      </c>
      <c r="D495" s="15">
        <v>1680.0</v>
      </c>
      <c r="E495" s="15">
        <v>7.0</v>
      </c>
      <c r="F495" s="15">
        <v>0.31</v>
      </c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</row>
    <row r="496" ht="19.5" customHeight="1">
      <c r="A496" s="15"/>
      <c r="B496" s="15">
        <v>2.0</v>
      </c>
      <c r="C496" s="15">
        <v>3.0</v>
      </c>
      <c r="D496" s="15">
        <v>1814.0</v>
      </c>
      <c r="E496" s="15">
        <v>19.0</v>
      </c>
      <c r="F496" s="15">
        <v>0.0</v>
      </c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</row>
    <row r="497" ht="19.5" customHeight="1">
      <c r="A497" s="15"/>
      <c r="B497" s="15">
        <v>2.0</v>
      </c>
      <c r="C497" s="15">
        <v>3.0</v>
      </c>
      <c r="D497" s="15">
        <v>1164.0</v>
      </c>
      <c r="E497" s="15">
        <v>9.0</v>
      </c>
      <c r="F497" s="15">
        <v>0.67</v>
      </c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</row>
    <row r="498" ht="19.5" customHeight="1">
      <c r="A498" s="15"/>
      <c r="B498" s="15">
        <v>2.0</v>
      </c>
      <c r="C498" s="15">
        <v>3.0</v>
      </c>
      <c r="D498" s="15">
        <v>656.0</v>
      </c>
      <c r="E498" s="15">
        <v>10.0</v>
      </c>
      <c r="F498" s="15">
        <v>1.72</v>
      </c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</row>
    <row r="499" ht="19.5" customHeight="1">
      <c r="A499" s="15"/>
      <c r="B499" s="15">
        <v>2.0</v>
      </c>
      <c r="C499" s="15">
        <v>3.0</v>
      </c>
      <c r="D499" s="15">
        <v>1559.0</v>
      </c>
      <c r="E499" s="15">
        <v>11.0</v>
      </c>
      <c r="F499" s="15">
        <v>1.04</v>
      </c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</row>
    <row r="500" ht="19.5" customHeight="1">
      <c r="A500" s="15"/>
      <c r="B500" s="15">
        <v>2.0</v>
      </c>
      <c r="C500" s="15">
        <v>3.0</v>
      </c>
      <c r="D500" s="15">
        <v>1296.0</v>
      </c>
      <c r="E500" s="15">
        <v>22.0</v>
      </c>
      <c r="F500" s="15">
        <v>1.3</v>
      </c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</row>
    <row r="501" ht="19.5" customHeight="1">
      <c r="A501" s="15"/>
      <c r="B501" s="15">
        <v>2.0</v>
      </c>
      <c r="C501" s="15">
        <v>3.0</v>
      </c>
      <c r="D501" s="15">
        <v>1272.0</v>
      </c>
      <c r="E501" s="15">
        <v>11.0</v>
      </c>
      <c r="F501" s="15">
        <v>0.85</v>
      </c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</row>
    <row r="502" ht="19.5" customHeight="1">
      <c r="A502" s="15"/>
      <c r="B502" s="15">
        <v>2.0</v>
      </c>
      <c r="C502" s="15">
        <v>3.0</v>
      </c>
      <c r="D502" s="15">
        <v>1177.0</v>
      </c>
      <c r="E502" s="15">
        <v>10.0</v>
      </c>
      <c r="F502" s="15">
        <v>1.08</v>
      </c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</row>
    <row r="503" ht="19.5" customHeight="1">
      <c r="A503" s="15"/>
      <c r="B503" s="15">
        <v>2.0</v>
      </c>
      <c r="C503" s="15">
        <v>3.0</v>
      </c>
      <c r="D503" s="15">
        <v>1032.0</v>
      </c>
      <c r="E503" s="15">
        <v>13.0</v>
      </c>
      <c r="F503" s="15">
        <v>2.03</v>
      </c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</row>
    <row r="504" ht="19.5" customHeight="1">
      <c r="A504" s="15"/>
      <c r="B504" s="15">
        <v>2.0</v>
      </c>
      <c r="C504" s="15">
        <v>3.0</v>
      </c>
      <c r="D504" s="15">
        <v>1030.0</v>
      </c>
      <c r="E504" s="15">
        <v>8.0</v>
      </c>
      <c r="F504" s="15">
        <v>2.13</v>
      </c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</row>
    <row r="505" ht="19.5" customHeight="1">
      <c r="A505" s="15"/>
      <c r="B505" s="15">
        <v>2.0</v>
      </c>
      <c r="C505" s="15">
        <v>3.0</v>
      </c>
      <c r="D505" s="15">
        <v>1257.0</v>
      </c>
      <c r="E505" s="15">
        <v>12.0</v>
      </c>
      <c r="F505" s="15">
        <v>0.91</v>
      </c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</row>
    <row r="506" ht="19.5" customHeight="1">
      <c r="A506" s="15"/>
      <c r="B506" s="15">
        <v>2.0</v>
      </c>
      <c r="C506" s="15">
        <v>3.0</v>
      </c>
      <c r="D506" s="15">
        <v>357.0</v>
      </c>
      <c r="E506" s="15">
        <v>17.0</v>
      </c>
      <c r="F506" s="15">
        <v>0.4</v>
      </c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</row>
    <row r="507" ht="19.5" customHeight="1">
      <c r="A507" s="15"/>
      <c r="B507" s="15">
        <v>2.0</v>
      </c>
      <c r="C507" s="15">
        <v>3.0</v>
      </c>
      <c r="D507" s="15">
        <v>1206.0</v>
      </c>
      <c r="E507" s="15">
        <v>15.0</v>
      </c>
      <c r="F507" s="15">
        <v>2.36</v>
      </c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</row>
    <row r="508" ht="19.5" customHeight="1">
      <c r="A508" s="15"/>
      <c r="B508" s="15">
        <v>2.0</v>
      </c>
      <c r="C508" s="15">
        <v>3.0</v>
      </c>
      <c r="D508" s="15">
        <v>1227.0</v>
      </c>
      <c r="E508" s="15">
        <v>14.0</v>
      </c>
      <c r="F508" s="15">
        <v>1.58</v>
      </c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</row>
    <row r="509" ht="19.5" customHeight="1">
      <c r="A509" s="15"/>
      <c r="B509" s="15">
        <v>2.0</v>
      </c>
      <c r="C509" s="15">
        <v>3.0</v>
      </c>
      <c r="D509" s="15">
        <v>1430.0</v>
      </c>
      <c r="E509" s="15">
        <v>12.0</v>
      </c>
      <c r="F509" s="15">
        <v>0.91</v>
      </c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</row>
    <row r="510" ht="19.5" customHeight="1">
      <c r="A510" s="15"/>
      <c r="B510" s="15">
        <v>2.0</v>
      </c>
      <c r="C510" s="15">
        <v>3.0</v>
      </c>
      <c r="D510" s="15">
        <v>1756.0</v>
      </c>
      <c r="E510" s="15">
        <v>17.0</v>
      </c>
      <c r="F510" s="15">
        <v>1.14</v>
      </c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</row>
    <row r="511" ht="19.5" customHeight="1">
      <c r="A511" s="15"/>
      <c r="B511" s="15">
        <v>2.0</v>
      </c>
      <c r="C511" s="15">
        <v>3.0</v>
      </c>
      <c r="D511" s="15">
        <v>1262.0</v>
      </c>
      <c r="E511" s="15">
        <v>8.0</v>
      </c>
      <c r="F511" s="15">
        <v>1.5</v>
      </c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</row>
    <row r="512" ht="19.5" customHeight="1">
      <c r="A512" s="15"/>
      <c r="B512" s="15">
        <v>2.0</v>
      </c>
      <c r="C512" s="15">
        <v>3.0</v>
      </c>
      <c r="D512" s="15">
        <v>1941.0</v>
      </c>
      <c r="E512" s="15">
        <v>12.0</v>
      </c>
      <c r="F512" s="15">
        <v>0.97</v>
      </c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</row>
    <row r="513" ht="19.5" customHeight="1">
      <c r="A513" s="15"/>
      <c r="B513" s="15">
        <v>2.0</v>
      </c>
      <c r="C513" s="15">
        <v>3.0</v>
      </c>
      <c r="D513" s="15">
        <v>731.0</v>
      </c>
      <c r="E513" s="15">
        <v>20.0</v>
      </c>
      <c r="F513" s="15">
        <v>0.78</v>
      </c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</row>
    <row r="514" ht="19.5" customHeight="1">
      <c r="A514" s="15"/>
      <c r="B514" s="15">
        <v>2.0</v>
      </c>
      <c r="C514" s="15">
        <v>3.0</v>
      </c>
      <c r="D514" s="15">
        <v>853.0</v>
      </c>
      <c r="E514" s="15">
        <v>26.0</v>
      </c>
      <c r="F514" s="15">
        <v>0.27</v>
      </c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</row>
    <row r="515" ht="19.5" customHeight="1">
      <c r="A515" s="15"/>
      <c r="B515" s="15">
        <v>2.0</v>
      </c>
      <c r="C515" s="15">
        <v>3.0</v>
      </c>
      <c r="D515" s="15">
        <v>1216.0</v>
      </c>
      <c r="E515" s="15">
        <v>20.0</v>
      </c>
      <c r="F515" s="15">
        <v>1.0</v>
      </c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</row>
    <row r="516" ht="19.5" customHeight="1">
      <c r="A516" s="15"/>
      <c r="B516" s="15">
        <v>2.0</v>
      </c>
      <c r="C516" s="15">
        <v>3.0</v>
      </c>
      <c r="D516" s="15">
        <v>1502.0</v>
      </c>
      <c r="E516" s="15">
        <v>13.0</v>
      </c>
      <c r="F516" s="15">
        <v>1.09</v>
      </c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</row>
    <row r="517" ht="19.5" customHeight="1">
      <c r="A517" s="15"/>
      <c r="B517" s="15">
        <v>2.0</v>
      </c>
      <c r="C517" s="15">
        <v>3.0</v>
      </c>
      <c r="D517" s="15">
        <v>873.0</v>
      </c>
      <c r="E517" s="15">
        <v>11.0</v>
      </c>
      <c r="F517" s="15">
        <v>2.29</v>
      </c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</row>
    <row r="518" ht="19.5" customHeight="1">
      <c r="A518" s="15"/>
      <c r="B518" s="15">
        <v>2.0</v>
      </c>
      <c r="C518" s="15">
        <v>3.0</v>
      </c>
      <c r="D518" s="15">
        <v>848.0</v>
      </c>
      <c r="E518" s="15">
        <v>15.0</v>
      </c>
      <c r="F518" s="15">
        <v>1.95</v>
      </c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</row>
    <row r="519" ht="19.5" customHeight="1">
      <c r="A519" s="15"/>
      <c r="B519" s="15">
        <v>2.0</v>
      </c>
      <c r="C519" s="15">
        <v>3.0</v>
      </c>
      <c r="D519" s="15">
        <v>1324.0</v>
      </c>
      <c r="E519" s="15">
        <v>15.0</v>
      </c>
      <c r="F519" s="15">
        <v>1.28</v>
      </c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</row>
    <row r="520" ht="19.5" customHeight="1">
      <c r="A520" s="15"/>
      <c r="B520" s="15">
        <v>2.0</v>
      </c>
      <c r="C520" s="15">
        <v>3.0</v>
      </c>
      <c r="D520" s="15">
        <v>861.0</v>
      </c>
      <c r="E520" s="15">
        <v>16.0</v>
      </c>
      <c r="F520" s="15">
        <v>1.07</v>
      </c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</row>
    <row r="521" ht="19.5" customHeight="1">
      <c r="A521" s="15"/>
      <c r="B521" s="15">
        <v>2.0</v>
      </c>
      <c r="C521" s="15">
        <v>3.0</v>
      </c>
      <c r="D521" s="15">
        <v>745.0</v>
      </c>
      <c r="E521" s="15">
        <v>19.0</v>
      </c>
      <c r="F521" s="15">
        <v>2.77</v>
      </c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</row>
    <row r="522" ht="19.5" customHeight="1">
      <c r="A522" s="15"/>
      <c r="B522" s="15">
        <v>2.0</v>
      </c>
      <c r="C522" s="15">
        <v>3.0</v>
      </c>
      <c r="D522" s="15">
        <v>724.0</v>
      </c>
      <c r="E522" s="15">
        <v>7.0</v>
      </c>
      <c r="F522" s="15">
        <v>1.16</v>
      </c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</row>
    <row r="523" ht="19.5" customHeight="1">
      <c r="A523" s="15"/>
      <c r="B523" s="15">
        <v>2.0</v>
      </c>
      <c r="C523" s="15">
        <v>3.0</v>
      </c>
      <c r="D523" s="15">
        <v>916.0</v>
      </c>
      <c r="E523" s="15">
        <v>9.0</v>
      </c>
      <c r="F523" s="15">
        <v>2.15</v>
      </c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</row>
    <row r="524" ht="19.5" customHeight="1">
      <c r="A524" s="15"/>
      <c r="B524" s="15">
        <v>2.0</v>
      </c>
      <c r="C524" s="15">
        <v>3.0</v>
      </c>
      <c r="D524" s="15">
        <v>769.0</v>
      </c>
      <c r="E524" s="15">
        <v>21.0</v>
      </c>
      <c r="F524" s="15">
        <v>0.74</v>
      </c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</row>
    <row r="525" ht="19.5" customHeight="1">
      <c r="A525" s="15"/>
      <c r="B525" s="15">
        <v>2.0</v>
      </c>
      <c r="C525" s="15">
        <v>3.0</v>
      </c>
      <c r="D525" s="15">
        <v>1216.0</v>
      </c>
      <c r="E525" s="15">
        <v>7.0</v>
      </c>
      <c r="F525" s="15">
        <v>0.0</v>
      </c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</row>
    <row r="526" ht="19.5" customHeight="1">
      <c r="A526" s="15"/>
      <c r="B526" s="15">
        <v>2.0</v>
      </c>
      <c r="C526" s="15">
        <v>3.0</v>
      </c>
      <c r="D526" s="15">
        <v>916.0</v>
      </c>
      <c r="E526" s="15">
        <v>20.0</v>
      </c>
      <c r="F526" s="15">
        <v>1.08</v>
      </c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</row>
    <row r="527" ht="19.5" customHeight="1">
      <c r="A527" s="15"/>
      <c r="B527" s="15">
        <v>2.0</v>
      </c>
      <c r="C527" s="15">
        <v>3.0</v>
      </c>
      <c r="D527" s="15">
        <v>1124.0</v>
      </c>
      <c r="E527" s="15">
        <v>4.0</v>
      </c>
      <c r="F527" s="15">
        <v>1.17</v>
      </c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</row>
    <row r="528" ht="19.5" customHeight="1">
      <c r="A528" s="15"/>
      <c r="B528" s="15">
        <v>2.0</v>
      </c>
      <c r="C528" s="15">
        <v>3.0</v>
      </c>
      <c r="D528" s="15">
        <v>1488.0</v>
      </c>
      <c r="E528" s="15">
        <v>17.0</v>
      </c>
      <c r="F528" s="15">
        <v>0.0</v>
      </c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</row>
    <row r="529" ht="19.5" customHeight="1">
      <c r="A529" s="15"/>
      <c r="B529" s="15">
        <v>2.0</v>
      </c>
      <c r="C529" s="15">
        <v>3.0</v>
      </c>
      <c r="D529" s="15">
        <v>791.0</v>
      </c>
      <c r="E529" s="15">
        <v>15.0</v>
      </c>
      <c r="F529" s="15">
        <v>1.57</v>
      </c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</row>
    <row r="530" ht="19.5" customHeight="1">
      <c r="A530" s="15"/>
      <c r="B530" s="15">
        <v>2.0</v>
      </c>
      <c r="C530" s="15">
        <v>3.0</v>
      </c>
      <c r="D530" s="15">
        <v>606.0</v>
      </c>
      <c r="E530" s="15">
        <v>14.0</v>
      </c>
      <c r="F530" s="15">
        <v>1.03</v>
      </c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</row>
    <row r="531" ht="19.5" customHeight="1">
      <c r="A531" s="15"/>
      <c r="B531" s="15">
        <v>2.0</v>
      </c>
      <c r="C531" s="15">
        <v>3.0</v>
      </c>
      <c r="D531" s="15">
        <v>1136.0</v>
      </c>
      <c r="E531" s="15">
        <v>14.0</v>
      </c>
      <c r="F531" s="15">
        <v>0.8</v>
      </c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</row>
    <row r="532" ht="19.5" customHeight="1">
      <c r="A532" s="15"/>
      <c r="B532" s="15">
        <v>2.0</v>
      </c>
      <c r="C532" s="15">
        <v>3.0</v>
      </c>
      <c r="D532" s="15">
        <v>1087.0</v>
      </c>
      <c r="E532" s="15">
        <v>23.0</v>
      </c>
      <c r="F532" s="15">
        <v>0.94</v>
      </c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</row>
    <row r="533" ht="19.5" customHeight="1">
      <c r="A533" s="15"/>
      <c r="B533" s="15">
        <v>2.0</v>
      </c>
      <c r="C533" s="15">
        <v>3.0</v>
      </c>
      <c r="D533" s="15">
        <v>1709.0</v>
      </c>
      <c r="E533" s="15">
        <v>18.0</v>
      </c>
      <c r="F533" s="15">
        <v>1.0</v>
      </c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</row>
    <row r="534" ht="19.5" customHeight="1">
      <c r="A534" s="15"/>
      <c r="B534" s="15">
        <v>2.0</v>
      </c>
      <c r="C534" s="15">
        <v>3.0</v>
      </c>
      <c r="D534" s="15">
        <v>718.0</v>
      </c>
      <c r="E534" s="15">
        <v>15.0</v>
      </c>
      <c r="F534" s="15">
        <v>1.75</v>
      </c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</row>
    <row r="535" ht="19.5" customHeight="1">
      <c r="A535" s="15"/>
      <c r="B535" s="15">
        <v>2.0</v>
      </c>
      <c r="C535" s="15">
        <v>3.0</v>
      </c>
      <c r="D535" s="15">
        <v>989.0</v>
      </c>
      <c r="E535" s="15">
        <v>7.0</v>
      </c>
      <c r="F535" s="15">
        <v>0.91</v>
      </c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</row>
    <row r="536" ht="19.5" customHeight="1">
      <c r="A536" s="15"/>
      <c r="B536" s="15">
        <v>2.0</v>
      </c>
      <c r="C536" s="15">
        <v>3.0</v>
      </c>
      <c r="D536" s="15">
        <v>1426.0</v>
      </c>
      <c r="E536" s="15">
        <v>27.0</v>
      </c>
      <c r="F536" s="15">
        <v>0.21</v>
      </c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</row>
    <row r="537" ht="19.5" customHeight="1">
      <c r="A537" s="15"/>
      <c r="B537" s="15">
        <v>2.0</v>
      </c>
      <c r="C537" s="15">
        <v>3.0</v>
      </c>
      <c r="D537" s="15">
        <v>2023.0</v>
      </c>
      <c r="E537" s="15">
        <v>9.0</v>
      </c>
      <c r="F537" s="15">
        <v>1.0</v>
      </c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</row>
    <row r="538" ht="19.5" customHeight="1">
      <c r="A538" s="15"/>
      <c r="B538" s="15">
        <v>2.0</v>
      </c>
      <c r="C538" s="15">
        <v>3.0</v>
      </c>
      <c r="D538" s="15">
        <v>1601.0</v>
      </c>
      <c r="E538" s="15">
        <v>12.0</v>
      </c>
      <c r="F538" s="15">
        <v>0.89</v>
      </c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</row>
    <row r="539" ht="19.5" customHeight="1">
      <c r="A539" s="15"/>
      <c r="B539" s="15">
        <v>2.0</v>
      </c>
      <c r="C539" s="15">
        <v>3.0</v>
      </c>
      <c r="D539" s="15">
        <v>1143.0</v>
      </c>
      <c r="E539" s="15">
        <v>7.0</v>
      </c>
      <c r="F539" s="15">
        <v>1.2</v>
      </c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</row>
    <row r="540" ht="19.5" customHeight="1">
      <c r="A540" s="15"/>
      <c r="B540" s="15">
        <v>2.0</v>
      </c>
      <c r="C540" s="15">
        <v>3.0</v>
      </c>
      <c r="D540" s="15">
        <v>1927.0</v>
      </c>
      <c r="E540" s="15">
        <v>18.0</v>
      </c>
      <c r="F540" s="15">
        <v>0.63</v>
      </c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</row>
    <row r="541" ht="19.5" customHeight="1">
      <c r="A541" s="15"/>
      <c r="B541" s="15">
        <v>2.0</v>
      </c>
      <c r="C541" s="15">
        <v>3.0</v>
      </c>
      <c r="D541" s="15">
        <v>1745.0</v>
      </c>
      <c r="E541" s="15">
        <v>8.0</v>
      </c>
      <c r="F541" s="15">
        <v>0.5</v>
      </c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</row>
    <row r="542" ht="19.5" customHeight="1">
      <c r="A542" s="15"/>
      <c r="B542" s="15">
        <v>2.0</v>
      </c>
      <c r="C542" s="15">
        <v>3.0</v>
      </c>
      <c r="D542" s="15">
        <v>1488.0</v>
      </c>
      <c r="E542" s="15">
        <v>15.0</v>
      </c>
      <c r="F542" s="15">
        <v>2.62</v>
      </c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</row>
    <row r="543" ht="19.5" customHeight="1">
      <c r="A543" s="15"/>
      <c r="B543" s="15">
        <v>2.0</v>
      </c>
      <c r="C543" s="15">
        <v>3.0</v>
      </c>
      <c r="D543" s="15">
        <v>1369.0</v>
      </c>
      <c r="E543" s="15">
        <v>14.0</v>
      </c>
      <c r="F543" s="15">
        <v>0.97</v>
      </c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</row>
    <row r="544" ht="19.5" customHeight="1">
      <c r="A544" s="15"/>
      <c r="B544" s="15">
        <v>2.0</v>
      </c>
      <c r="C544" s="15">
        <v>3.0</v>
      </c>
      <c r="D544" s="15">
        <v>836.0</v>
      </c>
      <c r="E544" s="15">
        <v>8.0</v>
      </c>
      <c r="F544" s="15">
        <v>1.69</v>
      </c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</row>
    <row r="545" ht="19.5" customHeight="1">
      <c r="A545" s="15"/>
      <c r="B545" s="15">
        <v>2.0</v>
      </c>
      <c r="C545" s="15">
        <v>3.0</v>
      </c>
      <c r="D545" s="15">
        <v>994.0</v>
      </c>
      <c r="E545" s="15">
        <v>13.0</v>
      </c>
      <c r="F545" s="15">
        <v>2.31</v>
      </c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</row>
    <row r="546" ht="19.5" customHeight="1">
      <c r="A546" s="15"/>
      <c r="B546" s="15">
        <v>2.0</v>
      </c>
      <c r="C546" s="15">
        <v>3.0</v>
      </c>
      <c r="D546" s="15">
        <v>1079.0</v>
      </c>
      <c r="E546" s="15">
        <v>18.0</v>
      </c>
      <c r="F546" s="15">
        <v>1.32</v>
      </c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</row>
    <row r="547" ht="19.5" customHeight="1">
      <c r="A547" s="15"/>
      <c r="B547" s="15">
        <v>2.0</v>
      </c>
      <c r="C547" s="15">
        <v>3.0</v>
      </c>
      <c r="D547" s="15">
        <v>1288.0</v>
      </c>
      <c r="E547" s="15">
        <v>22.0</v>
      </c>
      <c r="F547" s="15">
        <v>2.42</v>
      </c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</row>
    <row r="548" ht="19.5" customHeight="1">
      <c r="A548" s="15"/>
      <c r="B548" s="15">
        <v>2.0</v>
      </c>
      <c r="C548" s="15">
        <v>3.0</v>
      </c>
      <c r="D548" s="15">
        <v>951.0</v>
      </c>
      <c r="E548" s="15">
        <v>15.0</v>
      </c>
      <c r="F548" s="15">
        <v>1.15</v>
      </c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</row>
    <row r="549" ht="19.5" customHeight="1">
      <c r="A549" s="15"/>
      <c r="B549" s="15">
        <v>2.0</v>
      </c>
      <c r="C549" s="15">
        <v>3.0</v>
      </c>
      <c r="D549" s="15">
        <v>1803.0</v>
      </c>
      <c r="E549" s="15">
        <v>18.0</v>
      </c>
      <c r="F549" s="15">
        <v>1.42</v>
      </c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</row>
    <row r="550" ht="19.5" customHeight="1">
      <c r="A550" s="15"/>
      <c r="B550" s="15">
        <v>2.0</v>
      </c>
      <c r="C550" s="15">
        <v>3.0</v>
      </c>
      <c r="D550" s="15">
        <v>1583.0</v>
      </c>
      <c r="E550" s="15">
        <v>15.0</v>
      </c>
      <c r="F550" s="15">
        <v>0.23</v>
      </c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</row>
    <row r="551" ht="19.5" customHeight="1">
      <c r="A551" s="15"/>
      <c r="B551" s="15">
        <v>2.0</v>
      </c>
      <c r="C551" s="15">
        <v>3.0</v>
      </c>
      <c r="D551" s="15">
        <v>1062.0</v>
      </c>
      <c r="E551" s="15">
        <v>4.0</v>
      </c>
      <c r="F551" s="15">
        <v>0.45</v>
      </c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</row>
    <row r="552" ht="19.5" customHeight="1">
      <c r="A552" s="15"/>
      <c r="B552" s="15">
        <v>2.0</v>
      </c>
      <c r="C552" s="15">
        <v>3.0</v>
      </c>
      <c r="D552" s="15">
        <v>1677.0</v>
      </c>
      <c r="E552" s="15">
        <v>10.0</v>
      </c>
      <c r="F552" s="15">
        <v>1.35</v>
      </c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</row>
    <row r="553" ht="19.5" customHeight="1">
      <c r="A553" s="15"/>
      <c r="B553" s="15">
        <v>2.0</v>
      </c>
      <c r="C553" s="15">
        <v>3.0</v>
      </c>
      <c r="D553" s="15">
        <v>1558.0</v>
      </c>
      <c r="E553" s="15">
        <v>14.0</v>
      </c>
      <c r="F553" s="15">
        <v>0.74</v>
      </c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</row>
    <row r="554" ht="19.5" customHeight="1">
      <c r="A554" s="15"/>
      <c r="B554" s="15">
        <v>2.0</v>
      </c>
      <c r="C554" s="15">
        <v>3.0</v>
      </c>
      <c r="D554" s="15">
        <v>1443.0</v>
      </c>
      <c r="E554" s="15">
        <v>9.0</v>
      </c>
      <c r="F554" s="15">
        <v>0.36</v>
      </c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</row>
    <row r="555" ht="19.5" customHeight="1">
      <c r="A555" s="15"/>
      <c r="B555" s="15">
        <v>2.0</v>
      </c>
      <c r="C555" s="15">
        <v>3.0</v>
      </c>
      <c r="D555" s="15">
        <v>1392.0</v>
      </c>
      <c r="E555" s="15">
        <v>8.0</v>
      </c>
      <c r="F555" s="15">
        <v>0.48</v>
      </c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</row>
    <row r="556" ht="19.5" customHeight="1">
      <c r="A556" s="15"/>
      <c r="B556" s="15">
        <v>2.0</v>
      </c>
      <c r="C556" s="15">
        <v>3.0</v>
      </c>
      <c r="D556" s="15">
        <v>1215.0</v>
      </c>
      <c r="E556" s="15">
        <v>11.0</v>
      </c>
      <c r="F556" s="15">
        <v>1.66</v>
      </c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</row>
    <row r="557" ht="19.5" customHeight="1">
      <c r="A557" s="15"/>
      <c r="B557" s="15">
        <v>2.0</v>
      </c>
      <c r="C557" s="15">
        <v>3.0</v>
      </c>
      <c r="D557" s="15">
        <v>1060.0</v>
      </c>
      <c r="E557" s="15">
        <v>15.0</v>
      </c>
      <c r="F557" s="15">
        <v>1.3</v>
      </c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</row>
    <row r="558" ht="19.5" customHeight="1">
      <c r="A558" s="15"/>
      <c r="B558" s="15">
        <v>2.0</v>
      </c>
      <c r="C558" s="15">
        <v>3.0</v>
      </c>
      <c r="D558" s="15">
        <v>1491.0</v>
      </c>
      <c r="E558" s="15">
        <v>15.0</v>
      </c>
      <c r="F558" s="15">
        <v>1.46</v>
      </c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</row>
    <row r="559" ht="19.5" customHeight="1">
      <c r="A559" s="15"/>
      <c r="B559" s="15">
        <v>2.0</v>
      </c>
      <c r="C559" s="15">
        <v>3.0</v>
      </c>
      <c r="D559" s="15">
        <v>1837.0</v>
      </c>
      <c r="E559" s="15">
        <v>19.0</v>
      </c>
      <c r="F559" s="15">
        <v>0.6</v>
      </c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</row>
    <row r="560" ht="19.5" customHeight="1">
      <c r="A560" s="15"/>
      <c r="B560" s="15">
        <v>2.0</v>
      </c>
      <c r="C560" s="15">
        <v>3.0</v>
      </c>
      <c r="D560" s="15">
        <v>828.0</v>
      </c>
      <c r="E560" s="15">
        <v>8.0</v>
      </c>
      <c r="F560" s="15">
        <v>1.81</v>
      </c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</row>
    <row r="561" ht="19.5" customHeight="1">
      <c r="A561" s="15"/>
      <c r="B561" s="15">
        <v>2.0</v>
      </c>
      <c r="C561" s="15">
        <v>3.0</v>
      </c>
      <c r="D561" s="15">
        <v>1370.0</v>
      </c>
      <c r="E561" s="15">
        <v>18.0</v>
      </c>
      <c r="F561" s="15">
        <v>1.55</v>
      </c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</row>
    <row r="562" ht="19.5" customHeight="1">
      <c r="A562" s="15"/>
      <c r="B562" s="15">
        <v>2.0</v>
      </c>
      <c r="C562" s="15">
        <v>3.0</v>
      </c>
      <c r="D562" s="15">
        <v>800.0</v>
      </c>
      <c r="E562" s="15">
        <v>18.0</v>
      </c>
      <c r="F562" s="15">
        <v>0.32</v>
      </c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</row>
    <row r="563" ht="19.5" customHeight="1">
      <c r="A563" s="15"/>
      <c r="B563" s="15">
        <v>2.0</v>
      </c>
      <c r="C563" s="15">
        <v>3.0</v>
      </c>
      <c r="D563" s="15">
        <v>1645.0</v>
      </c>
      <c r="E563" s="15">
        <v>10.0</v>
      </c>
      <c r="F563" s="15">
        <v>1.31</v>
      </c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</row>
    <row r="564" ht="19.5" customHeight="1">
      <c r="A564" s="15"/>
      <c r="B564" s="15">
        <v>2.0</v>
      </c>
      <c r="C564" s="15">
        <v>3.0</v>
      </c>
      <c r="D564" s="15">
        <v>1113.0</v>
      </c>
      <c r="E564" s="15">
        <v>25.0</v>
      </c>
      <c r="F564" s="15">
        <v>0.59</v>
      </c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</row>
    <row r="565" ht="19.5" customHeight="1">
      <c r="A565" s="15"/>
      <c r="B565" s="15">
        <v>2.0</v>
      </c>
      <c r="C565" s="15">
        <v>3.0</v>
      </c>
      <c r="D565" s="15">
        <v>1537.0</v>
      </c>
      <c r="E565" s="15">
        <v>21.0</v>
      </c>
      <c r="F565" s="15">
        <v>1.28</v>
      </c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</row>
    <row r="566" ht="19.5" customHeight="1">
      <c r="A566" s="15"/>
      <c r="B566" s="15">
        <v>2.0</v>
      </c>
      <c r="C566" s="15">
        <v>3.0</v>
      </c>
      <c r="D566" s="15">
        <v>1380.0</v>
      </c>
      <c r="E566" s="15">
        <v>24.0</v>
      </c>
      <c r="F566" s="15">
        <v>1.54</v>
      </c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</row>
    <row r="567" ht="19.5" customHeight="1">
      <c r="A567" s="15"/>
      <c r="B567" s="15">
        <v>2.0</v>
      </c>
      <c r="C567" s="15">
        <v>3.0</v>
      </c>
      <c r="D567" s="15">
        <v>1113.0</v>
      </c>
      <c r="E567" s="15">
        <v>2.0</v>
      </c>
      <c r="F567" s="15">
        <v>1.76</v>
      </c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</row>
    <row r="568" ht="19.5" customHeight="1">
      <c r="A568" s="15"/>
      <c r="B568" s="15">
        <v>2.0</v>
      </c>
      <c r="C568" s="15">
        <v>3.0</v>
      </c>
      <c r="D568" s="15">
        <v>822.0</v>
      </c>
      <c r="E568" s="15">
        <v>5.0</v>
      </c>
      <c r="F568" s="15">
        <v>1.06</v>
      </c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</row>
    <row r="569" ht="19.5" customHeight="1">
      <c r="A569" s="15"/>
      <c r="B569" s="15">
        <v>2.0</v>
      </c>
      <c r="C569" s="15">
        <v>3.0</v>
      </c>
      <c r="D569" s="15">
        <v>1540.0</v>
      </c>
      <c r="E569" s="15">
        <v>17.0</v>
      </c>
      <c r="F569" s="15">
        <v>1.09</v>
      </c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</row>
    <row r="570" ht="19.5" customHeight="1">
      <c r="A570" s="15"/>
      <c r="B570" s="15">
        <v>2.0</v>
      </c>
      <c r="C570" s="15">
        <v>3.0</v>
      </c>
      <c r="D570" s="15">
        <v>1102.0</v>
      </c>
      <c r="E570" s="15">
        <v>20.0</v>
      </c>
      <c r="F570" s="15">
        <v>1.01</v>
      </c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</row>
    <row r="571" ht="19.5" customHeight="1">
      <c r="A571" s="15"/>
      <c r="B571" s="15">
        <v>2.0</v>
      </c>
      <c r="C571" s="15">
        <v>3.0</v>
      </c>
      <c r="D571" s="15">
        <v>1644.0</v>
      </c>
      <c r="E571" s="15">
        <v>13.0</v>
      </c>
      <c r="F571" s="15">
        <v>1.87</v>
      </c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</row>
    <row r="572" ht="19.5" customHeight="1">
      <c r="A572" s="15"/>
      <c r="B572" s="15">
        <v>2.0</v>
      </c>
      <c r="C572" s="15">
        <v>3.0</v>
      </c>
      <c r="D572" s="15">
        <v>1729.0</v>
      </c>
      <c r="E572" s="15">
        <v>11.0</v>
      </c>
      <c r="F572" s="15">
        <v>1.27</v>
      </c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</row>
    <row r="573" ht="19.5" customHeight="1">
      <c r="A573" s="15"/>
      <c r="B573" s="15">
        <v>2.0</v>
      </c>
      <c r="C573" s="15">
        <v>3.0</v>
      </c>
      <c r="D573" s="15">
        <v>1033.0</v>
      </c>
      <c r="E573" s="15">
        <v>8.0</v>
      </c>
      <c r="F573" s="15">
        <v>1.87</v>
      </c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</row>
    <row r="574" ht="19.5" customHeight="1">
      <c r="A574" s="15"/>
      <c r="B574" s="15">
        <v>2.0</v>
      </c>
      <c r="C574" s="15">
        <v>3.0</v>
      </c>
      <c r="D574" s="15">
        <v>1322.0</v>
      </c>
      <c r="E574" s="15">
        <v>11.0</v>
      </c>
      <c r="F574" s="15">
        <v>1.6</v>
      </c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</row>
    <row r="575" ht="19.5" customHeight="1">
      <c r="A575" s="15"/>
      <c r="B575" s="15">
        <v>2.0</v>
      </c>
      <c r="C575" s="15">
        <v>3.0</v>
      </c>
      <c r="D575" s="15">
        <v>1146.0</v>
      </c>
      <c r="E575" s="15">
        <v>4.0</v>
      </c>
      <c r="F575" s="15">
        <v>2.1</v>
      </c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</row>
    <row r="576" ht="19.5" customHeight="1">
      <c r="A576" s="15"/>
      <c r="B576" s="15">
        <v>2.0</v>
      </c>
      <c r="C576" s="15">
        <v>3.0</v>
      </c>
      <c r="D576" s="15">
        <v>1393.0</v>
      </c>
      <c r="E576" s="15">
        <v>9.0</v>
      </c>
      <c r="F576" s="15">
        <v>1.12</v>
      </c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</row>
    <row r="577" ht="19.5" customHeight="1">
      <c r="A577" s="15"/>
      <c r="B577" s="15">
        <v>2.0</v>
      </c>
      <c r="C577" s="15">
        <v>3.0</v>
      </c>
      <c r="D577" s="15">
        <v>944.0</v>
      </c>
      <c r="E577" s="15">
        <v>7.0</v>
      </c>
      <c r="F577" s="15">
        <v>1.91</v>
      </c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</row>
    <row r="578" ht="19.5" customHeight="1">
      <c r="A578" s="15"/>
      <c r="B578" s="15">
        <v>2.0</v>
      </c>
      <c r="C578" s="15">
        <v>3.0</v>
      </c>
      <c r="D578" s="15">
        <v>548.0</v>
      </c>
      <c r="E578" s="15">
        <v>7.0</v>
      </c>
      <c r="F578" s="15">
        <v>1.95</v>
      </c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</row>
    <row r="579" ht="19.5" customHeight="1">
      <c r="A579" s="15"/>
      <c r="B579" s="15">
        <v>2.0</v>
      </c>
      <c r="C579" s="15">
        <v>3.0</v>
      </c>
      <c r="D579" s="15">
        <v>845.0</v>
      </c>
      <c r="E579" s="15">
        <v>9.0</v>
      </c>
      <c r="F579" s="15">
        <v>1.93</v>
      </c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</row>
    <row r="580" ht="19.5" customHeight="1">
      <c r="A580" s="15"/>
      <c r="B580" s="15">
        <v>2.0</v>
      </c>
      <c r="C580" s="15">
        <v>3.0</v>
      </c>
      <c r="D580" s="15">
        <v>729.0</v>
      </c>
      <c r="E580" s="15">
        <v>9.0</v>
      </c>
      <c r="F580" s="15">
        <v>1.92</v>
      </c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</row>
    <row r="581" ht="19.5" customHeight="1">
      <c r="A581" s="15"/>
      <c r="B581" s="15">
        <v>2.0</v>
      </c>
      <c r="C581" s="15">
        <v>3.0</v>
      </c>
      <c r="D581" s="15">
        <v>1376.0</v>
      </c>
      <c r="E581" s="15">
        <v>16.0</v>
      </c>
      <c r="F581" s="15">
        <v>0.0</v>
      </c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</row>
    <row r="582" ht="19.5" customHeight="1">
      <c r="A582" s="15"/>
      <c r="B582" s="15">
        <v>2.0</v>
      </c>
      <c r="C582" s="15">
        <v>3.0</v>
      </c>
      <c r="D582" s="15">
        <v>1116.0</v>
      </c>
      <c r="E582" s="15">
        <v>12.0</v>
      </c>
      <c r="F582" s="15">
        <v>2.09</v>
      </c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</row>
    <row r="583" ht="19.5" customHeight="1">
      <c r="A583" s="15"/>
      <c r="B583" s="15">
        <v>2.0</v>
      </c>
      <c r="C583" s="15">
        <v>3.0</v>
      </c>
      <c r="D583" s="15">
        <v>1689.0</v>
      </c>
      <c r="E583" s="15">
        <v>10.0</v>
      </c>
      <c r="F583" s="15">
        <v>0.93</v>
      </c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</row>
    <row r="584" ht="19.5" customHeight="1">
      <c r="A584" s="15"/>
      <c r="B584" s="15">
        <v>2.0</v>
      </c>
      <c r="C584" s="15">
        <v>3.0</v>
      </c>
      <c r="D584" s="15">
        <v>1232.0</v>
      </c>
      <c r="E584" s="15">
        <v>8.0</v>
      </c>
      <c r="F584" s="15">
        <v>1.32</v>
      </c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</row>
    <row r="585" ht="19.5" customHeight="1">
      <c r="A585" s="15"/>
      <c r="B585" s="15">
        <v>2.0</v>
      </c>
      <c r="C585" s="15">
        <v>3.0</v>
      </c>
      <c r="D585" s="15">
        <v>816.0</v>
      </c>
      <c r="E585" s="15">
        <v>3.0</v>
      </c>
      <c r="F585" s="15">
        <v>2.15</v>
      </c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</row>
    <row r="586" ht="19.5" customHeight="1">
      <c r="A586" s="15"/>
      <c r="B586" s="15">
        <v>2.0</v>
      </c>
      <c r="C586" s="15">
        <v>3.0</v>
      </c>
      <c r="D586" s="15">
        <v>1503.0</v>
      </c>
      <c r="E586" s="15">
        <v>16.0</v>
      </c>
      <c r="F586" s="15">
        <v>1.6</v>
      </c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</row>
    <row r="587" ht="19.5" customHeight="1">
      <c r="A587" s="15"/>
      <c r="B587" s="15">
        <v>2.0</v>
      </c>
      <c r="C587" s="15">
        <v>3.0</v>
      </c>
      <c r="D587" s="15">
        <v>1393.0</v>
      </c>
      <c r="E587" s="15">
        <v>20.0</v>
      </c>
      <c r="F587" s="15">
        <v>0.33</v>
      </c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</row>
    <row r="588" ht="19.5" customHeight="1">
      <c r="A588" s="15"/>
      <c r="B588" s="15">
        <v>2.0</v>
      </c>
      <c r="C588" s="15">
        <v>3.0</v>
      </c>
      <c r="D588" s="15">
        <v>1349.0</v>
      </c>
      <c r="E588" s="15">
        <v>13.0</v>
      </c>
      <c r="F588" s="15">
        <v>1.42</v>
      </c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</row>
    <row r="589" ht="19.5" customHeight="1">
      <c r="A589" s="15"/>
      <c r="B589" s="15">
        <v>2.0</v>
      </c>
      <c r="C589" s="15">
        <v>3.0</v>
      </c>
      <c r="D589" s="15">
        <v>775.0</v>
      </c>
      <c r="E589" s="15">
        <v>16.0</v>
      </c>
      <c r="F589" s="15">
        <v>1.34</v>
      </c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</row>
    <row r="590" ht="19.5" customHeight="1">
      <c r="A590" s="15"/>
      <c r="B590" s="15">
        <v>2.0</v>
      </c>
      <c r="C590" s="15">
        <v>3.0</v>
      </c>
      <c r="D590" s="15">
        <v>1155.0</v>
      </c>
      <c r="E590" s="15">
        <v>3.0</v>
      </c>
      <c r="F590" s="15">
        <v>2.46</v>
      </c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</row>
    <row r="591" ht="19.5" customHeight="1">
      <c r="A591" s="15"/>
      <c r="B591" s="15">
        <v>2.0</v>
      </c>
      <c r="C591" s="15">
        <v>3.0</v>
      </c>
      <c r="D591" s="15">
        <v>1332.0</v>
      </c>
      <c r="E591" s="15">
        <v>14.0</v>
      </c>
      <c r="F591" s="15">
        <v>0.4</v>
      </c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</row>
    <row r="592" ht="19.5" customHeight="1">
      <c r="A592" s="15"/>
      <c r="B592" s="15">
        <v>2.0</v>
      </c>
      <c r="C592" s="15">
        <v>3.0</v>
      </c>
      <c r="D592" s="15">
        <v>1251.0</v>
      </c>
      <c r="E592" s="15">
        <v>8.0</v>
      </c>
      <c r="F592" s="15">
        <v>1.4</v>
      </c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</row>
    <row r="593" ht="19.5" customHeight="1">
      <c r="A593" s="15"/>
      <c r="B593" s="15">
        <v>2.0</v>
      </c>
      <c r="C593" s="15">
        <v>3.0</v>
      </c>
      <c r="D593" s="15">
        <v>1342.0</v>
      </c>
      <c r="E593" s="15">
        <v>4.0</v>
      </c>
      <c r="F593" s="15">
        <v>1.23</v>
      </c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</row>
    <row r="594" ht="19.5" customHeight="1">
      <c r="A594" s="15"/>
      <c r="B594" s="15">
        <v>2.0</v>
      </c>
      <c r="C594" s="15">
        <v>3.0</v>
      </c>
      <c r="D594" s="15">
        <v>1397.0</v>
      </c>
      <c r="E594" s="15">
        <v>13.0</v>
      </c>
      <c r="F594" s="15">
        <v>0.0</v>
      </c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</row>
    <row r="595" ht="19.5" customHeight="1">
      <c r="A595" s="15"/>
      <c r="B595" s="15">
        <v>2.0</v>
      </c>
      <c r="C595" s="15">
        <v>3.0</v>
      </c>
      <c r="D595" s="15">
        <v>794.0</v>
      </c>
      <c r="E595" s="15">
        <v>11.0</v>
      </c>
      <c r="F595" s="15">
        <v>1.72</v>
      </c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</row>
    <row r="596" ht="19.5" customHeight="1">
      <c r="A596" s="15"/>
      <c r="B596" s="15">
        <v>2.0</v>
      </c>
      <c r="C596" s="15">
        <v>3.0</v>
      </c>
      <c r="D596" s="15">
        <v>1102.0</v>
      </c>
      <c r="E596" s="15">
        <v>12.0</v>
      </c>
      <c r="F596" s="15">
        <v>1.82</v>
      </c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</row>
    <row r="597" ht="19.5" customHeight="1">
      <c r="A597" s="15"/>
      <c r="B597" s="15">
        <v>2.0</v>
      </c>
      <c r="C597" s="15">
        <v>3.0</v>
      </c>
      <c r="D597" s="15">
        <v>405.0</v>
      </c>
      <c r="E597" s="15">
        <v>11.0</v>
      </c>
      <c r="F597" s="15">
        <v>1.84</v>
      </c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</row>
    <row r="598" ht="19.5" customHeight="1">
      <c r="A598" s="15"/>
      <c r="B598" s="15">
        <v>2.0</v>
      </c>
      <c r="C598" s="15">
        <v>3.0</v>
      </c>
      <c r="D598" s="15">
        <v>904.0</v>
      </c>
      <c r="E598" s="15">
        <v>13.0</v>
      </c>
      <c r="F598" s="15">
        <v>1.25</v>
      </c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</row>
    <row r="599" ht="19.5" customHeight="1">
      <c r="A599" s="15"/>
      <c r="B599" s="15">
        <v>2.0</v>
      </c>
      <c r="C599" s="15">
        <v>3.0</v>
      </c>
      <c r="D599" s="15">
        <v>1228.0</v>
      </c>
      <c r="E599" s="15">
        <v>18.0</v>
      </c>
      <c r="F599" s="15">
        <v>0.44</v>
      </c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</row>
    <row r="600" ht="19.5" customHeight="1">
      <c r="A600" s="15"/>
      <c r="B600" s="15">
        <v>2.0</v>
      </c>
      <c r="C600" s="15">
        <v>3.0</v>
      </c>
      <c r="D600" s="15">
        <v>1299.0</v>
      </c>
      <c r="E600" s="15">
        <v>24.0</v>
      </c>
      <c r="F600" s="15">
        <v>1.4</v>
      </c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</row>
    <row r="601" ht="19.5" customHeight="1">
      <c r="A601" s="15"/>
      <c r="B601" s="15">
        <v>2.0</v>
      </c>
      <c r="C601" s="15">
        <v>3.0</v>
      </c>
      <c r="D601" s="15">
        <v>1311.0</v>
      </c>
      <c r="E601" s="15">
        <v>14.0</v>
      </c>
      <c r="F601" s="15">
        <v>2.04</v>
      </c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</row>
    <row r="602" ht="19.5" customHeight="1">
      <c r="A602" s="15"/>
      <c r="B602" s="15">
        <v>2.0</v>
      </c>
      <c r="C602" s="15">
        <v>3.0</v>
      </c>
      <c r="D602" s="15">
        <v>1137.0</v>
      </c>
      <c r="E602" s="15">
        <v>13.0</v>
      </c>
      <c r="F602" s="15">
        <v>0.77</v>
      </c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</row>
    <row r="603" ht="19.5" customHeight="1">
      <c r="A603" s="15"/>
      <c r="B603" s="15">
        <v>2.0</v>
      </c>
      <c r="C603" s="15">
        <v>3.0</v>
      </c>
      <c r="D603" s="15">
        <v>1253.0</v>
      </c>
      <c r="E603" s="15">
        <v>13.0</v>
      </c>
      <c r="F603" s="15">
        <v>1.78</v>
      </c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</row>
    <row r="604" ht="19.5" customHeight="1">
      <c r="A604" s="15"/>
      <c r="B604" s="15">
        <v>2.0</v>
      </c>
      <c r="C604" s="15">
        <v>3.0</v>
      </c>
      <c r="D604" s="15">
        <v>1627.0</v>
      </c>
      <c r="E604" s="15">
        <v>10.0</v>
      </c>
      <c r="F604" s="15">
        <v>1.13</v>
      </c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</row>
    <row r="605" ht="19.5" customHeight="1">
      <c r="A605" s="15"/>
      <c r="B605" s="15">
        <v>2.0</v>
      </c>
      <c r="C605" s="15">
        <v>3.0</v>
      </c>
      <c r="D605" s="15">
        <v>1181.0</v>
      </c>
      <c r="E605" s="15">
        <v>18.0</v>
      </c>
      <c r="F605" s="15">
        <v>1.37</v>
      </c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</row>
    <row r="606" ht="19.5" customHeight="1">
      <c r="A606" s="15"/>
      <c r="B606" s="15">
        <v>2.0</v>
      </c>
      <c r="C606" s="15">
        <v>3.0</v>
      </c>
      <c r="D606" s="15">
        <v>702.0</v>
      </c>
      <c r="E606" s="15">
        <v>1.0</v>
      </c>
      <c r="F606" s="15">
        <v>2.99</v>
      </c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</row>
    <row r="607" ht="19.5" customHeight="1">
      <c r="A607" s="15"/>
      <c r="B607" s="15">
        <v>2.0</v>
      </c>
      <c r="C607" s="15">
        <v>3.0</v>
      </c>
      <c r="D607" s="15">
        <v>1004.0</v>
      </c>
      <c r="E607" s="15">
        <v>3.0</v>
      </c>
      <c r="F607" s="15">
        <v>1.76</v>
      </c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</row>
    <row r="608" ht="19.5" customHeight="1">
      <c r="A608" s="15"/>
      <c r="B608" s="15">
        <v>2.0</v>
      </c>
      <c r="C608" s="15">
        <v>3.0</v>
      </c>
      <c r="D608" s="15">
        <v>1316.0</v>
      </c>
      <c r="E608" s="15">
        <v>10.0</v>
      </c>
      <c r="F608" s="15">
        <v>0.5</v>
      </c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</row>
    <row r="609" ht="19.5" customHeight="1">
      <c r="A609" s="15"/>
      <c r="B609" s="15">
        <v>2.0</v>
      </c>
      <c r="C609" s="15">
        <v>3.0</v>
      </c>
      <c r="D609" s="15">
        <v>1002.0</v>
      </c>
      <c r="E609" s="15">
        <v>19.0</v>
      </c>
      <c r="F609" s="15">
        <v>0.66</v>
      </c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</row>
    <row r="610" ht="19.5" customHeight="1">
      <c r="A610" s="15"/>
      <c r="B610" s="15">
        <v>2.0</v>
      </c>
      <c r="C610" s="15">
        <v>3.0</v>
      </c>
      <c r="D610" s="15">
        <v>1066.0</v>
      </c>
      <c r="E610" s="15">
        <v>10.0</v>
      </c>
      <c r="F610" s="15">
        <v>1.66</v>
      </c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</row>
    <row r="611" ht="19.5" customHeight="1">
      <c r="A611" s="15"/>
      <c r="B611" s="15">
        <v>2.0</v>
      </c>
      <c r="C611" s="15">
        <v>3.0</v>
      </c>
      <c r="D611" s="15">
        <v>600.0</v>
      </c>
      <c r="E611" s="15">
        <v>19.0</v>
      </c>
      <c r="F611" s="15">
        <v>1.33</v>
      </c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</row>
    <row r="612" ht="19.5" customHeight="1">
      <c r="A612" s="15"/>
      <c r="B612" s="15">
        <v>2.0</v>
      </c>
      <c r="C612" s="15">
        <v>3.0</v>
      </c>
      <c r="D612" s="15">
        <v>1409.0</v>
      </c>
      <c r="E612" s="15">
        <v>9.0</v>
      </c>
      <c r="F612" s="15">
        <v>1.23</v>
      </c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</row>
    <row r="613" ht="19.5" customHeight="1">
      <c r="A613" s="15"/>
      <c r="B613" s="15">
        <v>2.0</v>
      </c>
      <c r="C613" s="15">
        <v>3.0</v>
      </c>
      <c r="D613" s="15">
        <v>1394.0</v>
      </c>
      <c r="E613" s="15">
        <v>17.0</v>
      </c>
      <c r="F613" s="15">
        <v>2.19</v>
      </c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</row>
    <row r="614" ht="19.5" customHeight="1">
      <c r="A614" s="15"/>
      <c r="B614" s="15">
        <v>2.0</v>
      </c>
      <c r="C614" s="15">
        <v>3.0</v>
      </c>
      <c r="D614" s="15">
        <v>1017.0</v>
      </c>
      <c r="E614" s="15">
        <v>8.0</v>
      </c>
      <c r="F614" s="15">
        <v>1.71</v>
      </c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</row>
    <row r="615" ht="19.5" customHeight="1">
      <c r="A615" s="15"/>
      <c r="B615" s="15">
        <v>2.0</v>
      </c>
      <c r="C615" s="15">
        <v>3.0</v>
      </c>
      <c r="D615" s="15">
        <v>1191.0</v>
      </c>
      <c r="E615" s="15">
        <v>9.0</v>
      </c>
      <c r="F615" s="15">
        <v>2.95</v>
      </c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</row>
    <row r="616" ht="19.5" customHeight="1">
      <c r="A616" s="15"/>
      <c r="B616" s="15">
        <v>2.0</v>
      </c>
      <c r="C616" s="15">
        <v>3.0</v>
      </c>
      <c r="D616" s="15">
        <v>1538.0</v>
      </c>
      <c r="E616" s="15">
        <v>12.0</v>
      </c>
      <c r="F616" s="15">
        <v>1.09</v>
      </c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</row>
    <row r="617" ht="19.5" customHeight="1">
      <c r="A617" s="15"/>
      <c r="B617" s="15">
        <v>2.0</v>
      </c>
      <c r="C617" s="15">
        <v>3.0</v>
      </c>
      <c r="D617" s="15">
        <v>746.0</v>
      </c>
      <c r="E617" s="15">
        <v>2.0</v>
      </c>
      <c r="F617" s="15">
        <v>1.59</v>
      </c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</row>
    <row r="618" ht="19.5" customHeight="1">
      <c r="A618" s="15"/>
      <c r="B618" s="15">
        <v>2.0</v>
      </c>
      <c r="C618" s="15">
        <v>3.0</v>
      </c>
      <c r="D618" s="15">
        <v>594.0</v>
      </c>
      <c r="E618" s="15">
        <v>10.0</v>
      </c>
      <c r="F618" s="15">
        <v>0.72</v>
      </c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</row>
    <row r="619" ht="19.5" customHeight="1">
      <c r="A619" s="15"/>
      <c r="B619" s="15">
        <v>2.0</v>
      </c>
      <c r="C619" s="15">
        <v>3.0</v>
      </c>
      <c r="D619" s="15">
        <v>1212.0</v>
      </c>
      <c r="E619" s="15">
        <v>14.0</v>
      </c>
      <c r="F619" s="15">
        <v>1.16</v>
      </c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</row>
    <row r="620" ht="19.5" customHeight="1">
      <c r="A620" s="15"/>
      <c r="B620" s="15">
        <v>2.0</v>
      </c>
      <c r="C620" s="15">
        <v>3.0</v>
      </c>
      <c r="D620" s="15">
        <v>435.0</v>
      </c>
      <c r="E620" s="15">
        <v>10.0</v>
      </c>
      <c r="F620" s="15">
        <v>1.58</v>
      </c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</row>
    <row r="621" ht="19.5" customHeight="1">
      <c r="A621" s="15"/>
      <c r="B621" s="15">
        <v>2.0</v>
      </c>
      <c r="C621" s="15">
        <v>3.0</v>
      </c>
      <c r="D621" s="15">
        <v>2025.0</v>
      </c>
      <c r="E621" s="15">
        <v>19.0</v>
      </c>
      <c r="F621" s="15">
        <v>0.23</v>
      </c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</row>
    <row r="622" ht="19.5" customHeight="1">
      <c r="A622" s="15"/>
      <c r="B622" s="15">
        <v>2.0</v>
      </c>
      <c r="C622" s="15">
        <v>3.0</v>
      </c>
      <c r="D622" s="15">
        <v>1584.0</v>
      </c>
      <c r="E622" s="15">
        <v>19.0</v>
      </c>
      <c r="F622" s="15">
        <v>0.42</v>
      </c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</row>
    <row r="623" ht="19.5" customHeight="1">
      <c r="A623" s="15"/>
      <c r="B623" s="15">
        <v>2.0</v>
      </c>
      <c r="C623" s="15">
        <v>3.0</v>
      </c>
      <c r="D623" s="15">
        <v>1302.0</v>
      </c>
      <c r="E623" s="15">
        <v>15.0</v>
      </c>
      <c r="F623" s="15">
        <v>2.05</v>
      </c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</row>
    <row r="624" ht="19.5" customHeight="1">
      <c r="A624" s="15"/>
      <c r="B624" s="15">
        <v>2.0</v>
      </c>
      <c r="C624" s="15">
        <v>3.0</v>
      </c>
      <c r="D624" s="15">
        <v>1634.0</v>
      </c>
      <c r="E624" s="15">
        <v>16.0</v>
      </c>
      <c r="F624" s="15">
        <v>1.66</v>
      </c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</row>
    <row r="625" ht="19.5" customHeight="1">
      <c r="A625" s="15"/>
      <c r="B625" s="15">
        <v>2.0</v>
      </c>
      <c r="C625" s="15">
        <v>3.0</v>
      </c>
      <c r="D625" s="15">
        <v>1424.0</v>
      </c>
      <c r="E625" s="15">
        <v>12.0</v>
      </c>
      <c r="F625" s="15">
        <v>0.74</v>
      </c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</row>
    <row r="626" ht="19.5" customHeight="1">
      <c r="A626" s="15"/>
      <c r="B626" s="15">
        <v>2.0</v>
      </c>
      <c r="C626" s="15">
        <v>3.0</v>
      </c>
      <c r="D626" s="15">
        <v>827.0</v>
      </c>
      <c r="E626" s="15">
        <v>9.0</v>
      </c>
      <c r="F626" s="15">
        <v>1.52</v>
      </c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</row>
    <row r="627" ht="19.5" customHeight="1">
      <c r="A627" s="15"/>
      <c r="B627" s="15">
        <v>2.0</v>
      </c>
      <c r="C627" s="15">
        <v>3.0</v>
      </c>
      <c r="D627" s="15">
        <v>1401.0</v>
      </c>
      <c r="E627" s="15">
        <v>13.0</v>
      </c>
      <c r="F627" s="15">
        <v>1.19</v>
      </c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</row>
    <row r="628" ht="19.5" customHeight="1">
      <c r="A628" s="15"/>
      <c r="B628" s="15">
        <v>2.0</v>
      </c>
      <c r="C628" s="15">
        <v>3.0</v>
      </c>
      <c r="D628" s="15">
        <v>980.0</v>
      </c>
      <c r="E628" s="15">
        <v>10.0</v>
      </c>
      <c r="F628" s="15">
        <v>0.4</v>
      </c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</row>
    <row r="629" ht="19.5" customHeight="1">
      <c r="A629" s="15"/>
      <c r="B629" s="15">
        <v>2.0</v>
      </c>
      <c r="C629" s="15">
        <v>3.0</v>
      </c>
      <c r="D629" s="15">
        <v>865.0</v>
      </c>
      <c r="E629" s="15">
        <v>16.0</v>
      </c>
      <c r="F629" s="15">
        <v>1.68</v>
      </c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</row>
    <row r="630" ht="19.5" customHeight="1">
      <c r="A630" s="15"/>
      <c r="B630" s="15">
        <v>2.0</v>
      </c>
      <c r="C630" s="15">
        <v>3.0</v>
      </c>
      <c r="D630" s="15">
        <v>633.0</v>
      </c>
      <c r="E630" s="15">
        <v>19.0</v>
      </c>
      <c r="F630" s="15">
        <v>1.06</v>
      </c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</row>
    <row r="631" ht="19.5" customHeight="1">
      <c r="A631" s="15"/>
      <c r="B631" s="15">
        <v>2.0</v>
      </c>
      <c r="C631" s="15">
        <v>3.0</v>
      </c>
      <c r="D631" s="15">
        <v>1247.0</v>
      </c>
      <c r="E631" s="15">
        <v>5.0</v>
      </c>
      <c r="F631" s="15">
        <v>0.45</v>
      </c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</row>
    <row r="632" ht="19.5" customHeight="1">
      <c r="A632" s="15"/>
      <c r="B632" s="15">
        <v>2.0</v>
      </c>
      <c r="C632" s="15">
        <v>3.0</v>
      </c>
      <c r="D632" s="15">
        <v>1029.0</v>
      </c>
      <c r="E632" s="15">
        <v>11.0</v>
      </c>
      <c r="F632" s="15">
        <v>1.18</v>
      </c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</row>
    <row r="633" ht="19.5" customHeight="1">
      <c r="A633" s="15"/>
      <c r="B633" s="15">
        <v>2.0</v>
      </c>
      <c r="C633" s="15">
        <v>3.0</v>
      </c>
      <c r="D633" s="15">
        <v>1353.0</v>
      </c>
      <c r="E633" s="15">
        <v>8.0</v>
      </c>
      <c r="F633" s="15">
        <v>0.55</v>
      </c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</row>
    <row r="634" ht="19.5" customHeight="1">
      <c r="A634" s="15"/>
      <c r="B634" s="15">
        <v>2.0</v>
      </c>
      <c r="C634" s="15">
        <v>3.0</v>
      </c>
      <c r="D634" s="15">
        <v>726.0</v>
      </c>
      <c r="E634" s="15">
        <v>6.0</v>
      </c>
      <c r="F634" s="15">
        <v>1.24</v>
      </c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</row>
    <row r="635" ht="19.5" customHeight="1">
      <c r="A635" s="15"/>
      <c r="B635" s="15">
        <v>2.0</v>
      </c>
      <c r="C635" s="15">
        <v>3.0</v>
      </c>
      <c r="D635" s="15">
        <v>681.0</v>
      </c>
      <c r="E635" s="15">
        <v>12.0</v>
      </c>
      <c r="F635" s="15">
        <v>1.46</v>
      </c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</row>
    <row r="636" ht="19.5" customHeight="1">
      <c r="A636" s="15"/>
      <c r="B636" s="15">
        <v>2.0</v>
      </c>
      <c r="C636" s="15">
        <v>3.0</v>
      </c>
      <c r="D636" s="15">
        <v>1761.0</v>
      </c>
      <c r="E636" s="15">
        <v>20.0</v>
      </c>
      <c r="F636" s="15">
        <v>1.17</v>
      </c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</row>
    <row r="637" ht="19.5" customHeight="1">
      <c r="A637" s="15"/>
      <c r="B637" s="15">
        <v>2.0</v>
      </c>
      <c r="C637" s="15">
        <v>3.0</v>
      </c>
      <c r="D637" s="15">
        <v>1135.0</v>
      </c>
      <c r="E637" s="15">
        <v>19.0</v>
      </c>
      <c r="F637" s="15">
        <v>1.05</v>
      </c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</row>
    <row r="638" ht="19.5" customHeight="1">
      <c r="A638" s="15"/>
      <c r="B638" s="15">
        <v>2.0</v>
      </c>
      <c r="C638" s="15">
        <v>3.0</v>
      </c>
      <c r="D638" s="15">
        <v>703.0</v>
      </c>
      <c r="E638" s="15">
        <v>17.0</v>
      </c>
      <c r="F638" s="15">
        <v>0.89</v>
      </c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</row>
    <row r="639" ht="19.5" customHeight="1">
      <c r="A639" s="15"/>
      <c r="B639" s="15">
        <v>2.0</v>
      </c>
      <c r="C639" s="15">
        <v>3.0</v>
      </c>
      <c r="D639" s="15">
        <v>1523.0</v>
      </c>
      <c r="E639" s="15">
        <v>6.0</v>
      </c>
      <c r="F639" s="15">
        <v>1.65</v>
      </c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</row>
    <row r="640" ht="19.5" customHeight="1">
      <c r="A640" s="15"/>
      <c r="B640" s="15">
        <v>2.0</v>
      </c>
      <c r="C640" s="15">
        <v>3.0</v>
      </c>
      <c r="D640" s="15">
        <v>482.0</v>
      </c>
      <c r="E640" s="15">
        <v>19.0</v>
      </c>
      <c r="F640" s="15">
        <v>1.48</v>
      </c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</row>
    <row r="641" ht="19.5" customHeight="1">
      <c r="A641" s="15"/>
      <c r="B641" s="15">
        <v>2.0</v>
      </c>
      <c r="C641" s="15">
        <v>3.0</v>
      </c>
      <c r="D641" s="15">
        <v>862.0</v>
      </c>
      <c r="E641" s="15">
        <v>11.0</v>
      </c>
      <c r="F641" s="15">
        <v>0.45</v>
      </c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</row>
    <row r="642" ht="19.5" customHeight="1">
      <c r="A642" s="15"/>
      <c r="B642" s="15">
        <v>2.0</v>
      </c>
      <c r="C642" s="15">
        <v>3.0</v>
      </c>
      <c r="D642" s="15">
        <v>905.0</v>
      </c>
      <c r="E642" s="15">
        <v>10.0</v>
      </c>
      <c r="F642" s="15">
        <v>2.57</v>
      </c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</row>
    <row r="643" ht="19.5" customHeight="1">
      <c r="A643" s="15"/>
      <c r="B643" s="15">
        <v>2.0</v>
      </c>
      <c r="C643" s="15">
        <v>3.0</v>
      </c>
      <c r="D643" s="15">
        <v>1572.0</v>
      </c>
      <c r="E643" s="15">
        <v>14.0</v>
      </c>
      <c r="F643" s="15">
        <v>0.42</v>
      </c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</row>
    <row r="644" ht="19.5" customHeight="1">
      <c r="A644" s="15"/>
      <c r="B644" s="15">
        <v>2.0</v>
      </c>
      <c r="C644" s="15">
        <v>3.0</v>
      </c>
      <c r="D644" s="15">
        <v>1263.0</v>
      </c>
      <c r="E644" s="15">
        <v>10.0</v>
      </c>
      <c r="F644" s="15">
        <v>1.71</v>
      </c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</row>
    <row r="645" ht="19.5" customHeight="1">
      <c r="A645" s="15"/>
      <c r="B645" s="15">
        <v>2.0</v>
      </c>
      <c r="C645" s="15">
        <v>3.0</v>
      </c>
      <c r="D645" s="15">
        <v>1284.0</v>
      </c>
      <c r="E645" s="15">
        <v>6.0</v>
      </c>
      <c r="F645" s="15">
        <v>1.82</v>
      </c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</row>
    <row r="646" ht="19.5" customHeight="1">
      <c r="A646" s="15"/>
      <c r="B646" s="15">
        <v>2.0</v>
      </c>
      <c r="C646" s="15">
        <v>3.0</v>
      </c>
      <c r="D646" s="15">
        <v>1003.0</v>
      </c>
      <c r="E646" s="15">
        <v>10.0</v>
      </c>
      <c r="F646" s="15">
        <v>1.08</v>
      </c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</row>
    <row r="647" ht="19.5" customHeight="1">
      <c r="A647" s="15"/>
      <c r="B647" s="15">
        <v>2.0</v>
      </c>
      <c r="C647" s="15">
        <v>3.0</v>
      </c>
      <c r="D647" s="15">
        <v>740.0</v>
      </c>
      <c r="E647" s="15">
        <v>8.0</v>
      </c>
      <c r="F647" s="15">
        <v>1.01</v>
      </c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</row>
    <row r="648" ht="19.5" customHeight="1">
      <c r="A648" s="15"/>
      <c r="B648" s="15">
        <v>2.0</v>
      </c>
      <c r="C648" s="15">
        <v>3.0</v>
      </c>
      <c r="D648" s="15">
        <v>1957.0</v>
      </c>
      <c r="E648" s="15">
        <v>9.0</v>
      </c>
      <c r="F648" s="15">
        <v>1.24</v>
      </c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</row>
    <row r="649" ht="19.5" customHeight="1">
      <c r="A649" s="15"/>
      <c r="B649" s="15">
        <v>2.0</v>
      </c>
      <c r="C649" s="15">
        <v>3.0</v>
      </c>
      <c r="D649" s="15">
        <v>961.0</v>
      </c>
      <c r="E649" s="15">
        <v>10.0</v>
      </c>
      <c r="F649" s="15">
        <v>1.73</v>
      </c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</row>
    <row r="650" ht="19.5" customHeight="1">
      <c r="A650" s="15"/>
      <c r="B650" s="15">
        <v>2.0</v>
      </c>
      <c r="C650" s="15">
        <v>3.0</v>
      </c>
      <c r="D650" s="15">
        <v>1003.0</v>
      </c>
      <c r="E650" s="15">
        <v>20.0</v>
      </c>
      <c r="F650" s="15">
        <v>1.62</v>
      </c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</row>
    <row r="651" ht="19.5" customHeight="1">
      <c r="A651" s="15"/>
      <c r="B651" s="15">
        <v>2.0</v>
      </c>
      <c r="C651" s="15">
        <v>3.0</v>
      </c>
      <c r="D651" s="15">
        <v>1610.0</v>
      </c>
      <c r="E651" s="15">
        <v>7.0</v>
      </c>
      <c r="F651" s="15">
        <v>0.0</v>
      </c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</row>
    <row r="652" ht="19.5" customHeight="1">
      <c r="A652" s="15"/>
      <c r="B652" s="15">
        <v>2.0</v>
      </c>
      <c r="C652" s="15">
        <v>3.0</v>
      </c>
      <c r="D652" s="15">
        <v>1036.0</v>
      </c>
      <c r="E652" s="15">
        <v>14.0</v>
      </c>
      <c r="F652" s="15">
        <v>2.32</v>
      </c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</row>
    <row r="653" ht="19.5" customHeight="1">
      <c r="A653" s="15"/>
      <c r="B653" s="15">
        <v>2.0</v>
      </c>
      <c r="C653" s="15">
        <v>3.0</v>
      </c>
      <c r="D653" s="15">
        <v>1583.0</v>
      </c>
      <c r="E653" s="15">
        <v>17.0</v>
      </c>
      <c r="F653" s="15">
        <v>0.5</v>
      </c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</row>
    <row r="654" ht="19.5" customHeight="1">
      <c r="A654" s="15"/>
      <c r="B654" s="15">
        <v>2.0</v>
      </c>
      <c r="C654" s="15">
        <v>3.0</v>
      </c>
      <c r="D654" s="15">
        <v>1105.0</v>
      </c>
      <c r="E654" s="15">
        <v>17.0</v>
      </c>
      <c r="F654" s="15">
        <v>1.17</v>
      </c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</row>
    <row r="655" ht="19.5" customHeight="1">
      <c r="A655" s="15"/>
      <c r="B655" s="15">
        <v>2.0</v>
      </c>
      <c r="C655" s="15">
        <v>3.0</v>
      </c>
      <c r="D655" s="15">
        <v>1851.0</v>
      </c>
      <c r="E655" s="15">
        <v>10.0</v>
      </c>
      <c r="F655" s="15">
        <v>2.26</v>
      </c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</row>
    <row r="656" ht="19.5" customHeight="1">
      <c r="A656" s="15"/>
      <c r="B656" s="15">
        <v>2.0</v>
      </c>
      <c r="C656" s="15">
        <v>3.0</v>
      </c>
      <c r="D656" s="15">
        <v>1325.0</v>
      </c>
      <c r="E656" s="15">
        <v>21.0</v>
      </c>
      <c r="F656" s="15">
        <v>1.01</v>
      </c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</row>
    <row r="657" ht="19.5" customHeight="1">
      <c r="A657" s="15"/>
      <c r="B657" s="15">
        <v>2.0</v>
      </c>
      <c r="C657" s="15">
        <v>3.0</v>
      </c>
      <c r="D657" s="15">
        <v>698.0</v>
      </c>
      <c r="E657" s="15">
        <v>8.0</v>
      </c>
      <c r="F657" s="15">
        <v>0.59</v>
      </c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</row>
    <row r="658" ht="19.5" customHeight="1">
      <c r="A658" s="15"/>
      <c r="B658" s="15">
        <v>2.0</v>
      </c>
      <c r="C658" s="15">
        <v>3.0</v>
      </c>
      <c r="D658" s="15">
        <v>967.0</v>
      </c>
      <c r="E658" s="15">
        <v>18.0</v>
      </c>
      <c r="F658" s="15">
        <v>1.36</v>
      </c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</row>
    <row r="659" ht="19.5" customHeight="1">
      <c r="A659" s="15"/>
      <c r="B659" s="15">
        <v>2.0</v>
      </c>
      <c r="C659" s="15">
        <v>3.0</v>
      </c>
      <c r="D659" s="15">
        <v>1037.0</v>
      </c>
      <c r="E659" s="15">
        <v>8.0</v>
      </c>
      <c r="F659" s="15">
        <v>2.42</v>
      </c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</row>
    <row r="660" ht="19.5" customHeight="1">
      <c r="A660" s="15"/>
      <c r="B660" s="15">
        <v>2.0</v>
      </c>
      <c r="C660" s="15">
        <v>3.0</v>
      </c>
      <c r="D660" s="15">
        <v>1072.0</v>
      </c>
      <c r="E660" s="15">
        <v>10.0</v>
      </c>
      <c r="F660" s="15">
        <v>2.08</v>
      </c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</row>
    <row r="661" ht="19.5" customHeight="1">
      <c r="A661" s="15"/>
      <c r="B661" s="15">
        <v>2.0</v>
      </c>
      <c r="C661" s="15">
        <v>3.0</v>
      </c>
      <c r="D661" s="15">
        <v>1390.0</v>
      </c>
      <c r="E661" s="15">
        <v>4.0</v>
      </c>
      <c r="F661" s="15">
        <v>1.0</v>
      </c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</row>
    <row r="662" ht="19.5" customHeight="1">
      <c r="A662" s="15"/>
      <c r="B662" s="15">
        <v>2.0</v>
      </c>
      <c r="C662" s="15">
        <v>3.0</v>
      </c>
      <c r="D662" s="15">
        <v>1106.0</v>
      </c>
      <c r="E662" s="15">
        <v>8.0</v>
      </c>
      <c r="F662" s="15">
        <v>1.68</v>
      </c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</row>
    <row r="663" ht="19.5" customHeight="1">
      <c r="A663" s="15"/>
      <c r="B663" s="15">
        <v>2.0</v>
      </c>
      <c r="C663" s="15">
        <v>3.0</v>
      </c>
      <c r="D663" s="15">
        <v>1661.0</v>
      </c>
      <c r="E663" s="15">
        <v>18.0</v>
      </c>
      <c r="F663" s="15">
        <v>1.38</v>
      </c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</row>
    <row r="664" ht="19.5" customHeight="1">
      <c r="A664" s="15"/>
      <c r="B664" s="15">
        <v>2.0</v>
      </c>
      <c r="C664" s="15">
        <v>3.0</v>
      </c>
      <c r="D664" s="15">
        <v>1205.0</v>
      </c>
      <c r="E664" s="15">
        <v>14.0</v>
      </c>
      <c r="F664" s="15">
        <v>1.6</v>
      </c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</row>
    <row r="665" ht="19.5" customHeight="1">
      <c r="A665" s="15"/>
      <c r="B665" s="15">
        <v>2.0</v>
      </c>
      <c r="C665" s="15">
        <v>3.0</v>
      </c>
      <c r="D665" s="15">
        <v>1191.0</v>
      </c>
      <c r="E665" s="15">
        <v>14.0</v>
      </c>
      <c r="F665" s="15">
        <v>1.09</v>
      </c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</row>
    <row r="666" ht="19.5" customHeight="1">
      <c r="A666" s="15"/>
      <c r="B666" s="15">
        <v>2.0</v>
      </c>
      <c r="C666" s="15">
        <v>3.0</v>
      </c>
      <c r="D666" s="15">
        <v>1315.0</v>
      </c>
      <c r="E666" s="15">
        <v>5.0</v>
      </c>
      <c r="F666" s="15">
        <v>1.08</v>
      </c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</row>
    <row r="667" ht="19.5" customHeight="1">
      <c r="A667" s="15"/>
      <c r="B667" s="15">
        <v>2.0</v>
      </c>
      <c r="C667" s="15">
        <v>3.0</v>
      </c>
      <c r="D667" s="15">
        <v>1690.0</v>
      </c>
      <c r="E667" s="15">
        <v>13.0</v>
      </c>
      <c r="F667" s="15">
        <v>0.0</v>
      </c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</row>
    <row r="668" ht="19.5" customHeight="1">
      <c r="A668" s="15"/>
      <c r="B668" s="15">
        <v>2.0</v>
      </c>
      <c r="C668" s="15">
        <v>3.0</v>
      </c>
      <c r="D668" s="15">
        <v>1912.0</v>
      </c>
      <c r="E668" s="15">
        <v>17.0</v>
      </c>
      <c r="F668" s="15">
        <v>0.83</v>
      </c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</row>
    <row r="669" ht="19.5" customHeight="1">
      <c r="A669" s="15"/>
      <c r="B669" s="15">
        <v>2.0</v>
      </c>
      <c r="C669" s="15">
        <v>3.0</v>
      </c>
      <c r="D669" s="15">
        <v>1034.0</v>
      </c>
      <c r="E669" s="15">
        <v>5.0</v>
      </c>
      <c r="F669" s="15">
        <v>1.92</v>
      </c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</row>
    <row r="670" ht="19.5" customHeight="1">
      <c r="A670" s="15"/>
      <c r="B670" s="15">
        <v>2.0</v>
      </c>
      <c r="C670" s="15">
        <v>3.0</v>
      </c>
      <c r="D670" s="15">
        <v>823.0</v>
      </c>
      <c r="E670" s="15">
        <v>14.0</v>
      </c>
      <c r="F670" s="15">
        <v>2.99</v>
      </c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</row>
    <row r="671" ht="19.5" customHeight="1">
      <c r="A671" s="15"/>
      <c r="B671" s="15">
        <v>2.0</v>
      </c>
      <c r="C671" s="15">
        <v>3.0</v>
      </c>
      <c r="D671" s="15">
        <v>1899.0</v>
      </c>
      <c r="E671" s="15">
        <v>21.0</v>
      </c>
      <c r="F671" s="15">
        <v>0.51</v>
      </c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</row>
    <row r="672" ht="19.5" customHeight="1">
      <c r="A672" s="15"/>
      <c r="B672" s="15">
        <v>2.0</v>
      </c>
      <c r="C672" s="15">
        <v>3.0</v>
      </c>
      <c r="D672" s="15">
        <v>1371.0</v>
      </c>
      <c r="E672" s="15">
        <v>17.0</v>
      </c>
      <c r="F672" s="15">
        <v>0.0</v>
      </c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</row>
    <row r="673" ht="19.5" customHeight="1">
      <c r="A673" s="15"/>
      <c r="B673" s="15">
        <v>2.0</v>
      </c>
      <c r="C673" s="15">
        <v>3.0</v>
      </c>
      <c r="D673" s="15">
        <v>947.0</v>
      </c>
      <c r="E673" s="15">
        <v>6.0</v>
      </c>
      <c r="F673" s="15">
        <v>1.25</v>
      </c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</row>
    <row r="674" ht="19.5" customHeight="1">
      <c r="A674" s="15"/>
      <c r="B674" s="15">
        <v>2.0</v>
      </c>
      <c r="C674" s="15">
        <v>3.0</v>
      </c>
      <c r="D674" s="15">
        <v>880.0</v>
      </c>
      <c r="E674" s="15">
        <v>13.0</v>
      </c>
      <c r="F674" s="15">
        <v>2.09</v>
      </c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</row>
    <row r="675" ht="19.5" customHeight="1">
      <c r="A675" s="15"/>
      <c r="B675" s="15">
        <v>2.0</v>
      </c>
      <c r="C675" s="15">
        <v>3.0</v>
      </c>
      <c r="D675" s="15">
        <v>613.0</v>
      </c>
      <c r="E675" s="15">
        <v>13.0</v>
      </c>
      <c r="F675" s="15">
        <v>2.47</v>
      </c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</row>
    <row r="676" ht="19.5" customHeight="1">
      <c r="A676" s="15"/>
      <c r="B676" s="15">
        <v>2.0</v>
      </c>
      <c r="C676" s="15">
        <v>3.0</v>
      </c>
      <c r="D676" s="15">
        <v>1072.0</v>
      </c>
      <c r="E676" s="15">
        <v>12.0</v>
      </c>
      <c r="F676" s="15">
        <v>0.68</v>
      </c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</row>
    <row r="677" ht="19.5" customHeight="1">
      <c r="A677" s="15"/>
      <c r="B677" s="15">
        <v>2.0</v>
      </c>
      <c r="C677" s="15">
        <v>3.0</v>
      </c>
      <c r="D677" s="15">
        <v>1139.0</v>
      </c>
      <c r="E677" s="15">
        <v>11.0</v>
      </c>
      <c r="F677" s="15">
        <v>1.65</v>
      </c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</row>
    <row r="678" ht="19.5" customHeight="1">
      <c r="A678" s="15"/>
      <c r="B678" s="15">
        <v>2.0</v>
      </c>
      <c r="C678" s="15">
        <v>3.0</v>
      </c>
      <c r="D678" s="15">
        <v>1270.0</v>
      </c>
      <c r="E678" s="15">
        <v>18.0</v>
      </c>
      <c r="F678" s="15">
        <v>0.58</v>
      </c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</row>
    <row r="679" ht="19.5" customHeight="1">
      <c r="A679" s="15"/>
      <c r="B679" s="15">
        <v>2.0</v>
      </c>
      <c r="C679" s="15">
        <v>3.0</v>
      </c>
      <c r="D679" s="15">
        <v>1472.0</v>
      </c>
      <c r="E679" s="15">
        <v>10.0</v>
      </c>
      <c r="F679" s="15">
        <v>0.0</v>
      </c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</row>
    <row r="680" ht="19.5" customHeight="1">
      <c r="A680" s="15"/>
      <c r="B680" s="15">
        <v>2.0</v>
      </c>
      <c r="C680" s="15">
        <v>3.0</v>
      </c>
      <c r="D680" s="15">
        <v>1365.0</v>
      </c>
      <c r="E680" s="15">
        <v>27.0</v>
      </c>
      <c r="F680" s="15">
        <v>2.46</v>
      </c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</row>
    <row r="681" ht="19.5" customHeight="1">
      <c r="A681" s="15"/>
      <c r="B681" s="15">
        <v>2.0</v>
      </c>
      <c r="C681" s="15">
        <v>3.0</v>
      </c>
      <c r="D681" s="15">
        <v>1118.0</v>
      </c>
      <c r="E681" s="15">
        <v>13.0</v>
      </c>
      <c r="F681" s="15">
        <v>0.03</v>
      </c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</row>
    <row r="682" ht="19.5" customHeight="1">
      <c r="A682" s="15"/>
      <c r="B682" s="15">
        <v>2.0</v>
      </c>
      <c r="C682" s="15">
        <v>3.0</v>
      </c>
      <c r="D682" s="15">
        <v>1315.0</v>
      </c>
      <c r="E682" s="15">
        <v>8.0</v>
      </c>
      <c r="F682" s="15">
        <v>2.08</v>
      </c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</row>
    <row r="683" ht="19.5" customHeight="1">
      <c r="A683" s="15"/>
      <c r="B683" s="15">
        <v>2.0</v>
      </c>
      <c r="C683" s="15">
        <v>3.0</v>
      </c>
      <c r="D683" s="15">
        <v>1517.0</v>
      </c>
      <c r="E683" s="15">
        <v>19.0</v>
      </c>
      <c r="F683" s="15">
        <v>1.21</v>
      </c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</row>
    <row r="684" ht="19.5" customHeight="1">
      <c r="A684" s="15"/>
      <c r="B684" s="15">
        <v>2.0</v>
      </c>
      <c r="C684" s="15">
        <v>3.0</v>
      </c>
      <c r="D684" s="15">
        <v>1647.0</v>
      </c>
      <c r="E684" s="15">
        <v>14.0</v>
      </c>
      <c r="F684" s="15">
        <v>0.49</v>
      </c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</row>
    <row r="685" ht="19.5" customHeight="1">
      <c r="A685" s="15"/>
      <c r="B685" s="15">
        <v>2.0</v>
      </c>
      <c r="C685" s="15">
        <v>3.0</v>
      </c>
      <c r="D685" s="15">
        <v>1340.0</v>
      </c>
      <c r="E685" s="15">
        <v>14.0</v>
      </c>
      <c r="F685" s="15">
        <v>0.5</v>
      </c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</row>
    <row r="686" ht="19.5" customHeight="1">
      <c r="A686" s="15"/>
      <c r="B686" s="15">
        <v>2.0</v>
      </c>
      <c r="C686" s="15">
        <v>3.0</v>
      </c>
      <c r="D686" s="15">
        <v>1064.0</v>
      </c>
      <c r="E686" s="15">
        <v>6.0</v>
      </c>
      <c r="F686" s="15">
        <v>0.48</v>
      </c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</row>
    <row r="687" ht="19.5" customHeight="1">
      <c r="A687" s="15"/>
      <c r="B687" s="15">
        <v>2.0</v>
      </c>
      <c r="C687" s="15">
        <v>3.0</v>
      </c>
      <c r="D687" s="15">
        <v>1653.0</v>
      </c>
      <c r="E687" s="15">
        <v>13.0</v>
      </c>
      <c r="F687" s="15">
        <v>2.15</v>
      </c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</row>
    <row r="688" ht="19.5" customHeight="1">
      <c r="A688" s="15"/>
      <c r="B688" s="15">
        <v>2.0</v>
      </c>
      <c r="C688" s="15">
        <v>3.0</v>
      </c>
      <c r="D688" s="15">
        <v>1349.0</v>
      </c>
      <c r="E688" s="15">
        <v>11.0</v>
      </c>
      <c r="F688" s="15">
        <v>0.99</v>
      </c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</row>
    <row r="689" ht="19.5" customHeight="1">
      <c r="A689" s="15"/>
      <c r="B689" s="15">
        <v>2.0</v>
      </c>
      <c r="C689" s="15">
        <v>3.0</v>
      </c>
      <c r="D689" s="15">
        <v>1067.0</v>
      </c>
      <c r="E689" s="15">
        <v>16.0</v>
      </c>
      <c r="F689" s="15">
        <v>0.96</v>
      </c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</row>
    <row r="690" ht="19.5" customHeight="1">
      <c r="A690" s="15"/>
      <c r="B690" s="15">
        <v>2.0</v>
      </c>
      <c r="C690" s="15">
        <v>3.0</v>
      </c>
      <c r="D690" s="15">
        <v>1209.0</v>
      </c>
      <c r="E690" s="15">
        <v>15.0</v>
      </c>
      <c r="F690" s="15">
        <v>1.81</v>
      </c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</row>
    <row r="691" ht="19.5" customHeight="1">
      <c r="A691" s="15"/>
      <c r="B691" s="15">
        <v>2.0</v>
      </c>
      <c r="C691" s="15">
        <v>3.0</v>
      </c>
      <c r="D691" s="15">
        <v>1097.0</v>
      </c>
      <c r="E691" s="15">
        <v>14.0</v>
      </c>
      <c r="F691" s="15">
        <v>0.94</v>
      </c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</row>
    <row r="692" ht="19.5" customHeight="1">
      <c r="A692" s="15"/>
      <c r="B692" s="15">
        <v>2.0</v>
      </c>
      <c r="C692" s="15">
        <v>3.0</v>
      </c>
      <c r="D692" s="15">
        <v>1612.0</v>
      </c>
      <c r="E692" s="15">
        <v>17.0</v>
      </c>
      <c r="F692" s="15">
        <v>0.94</v>
      </c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</row>
    <row r="693" ht="19.5" customHeight="1">
      <c r="A693" s="15"/>
      <c r="B693" s="15">
        <v>2.0</v>
      </c>
      <c r="C693" s="15">
        <v>3.0</v>
      </c>
      <c r="D693" s="15">
        <v>1236.0</v>
      </c>
      <c r="E693" s="15">
        <v>9.0</v>
      </c>
      <c r="F693" s="15">
        <v>2.46</v>
      </c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</row>
    <row r="694" ht="19.5" customHeight="1">
      <c r="A694" s="15"/>
      <c r="B694" s="15">
        <v>2.0</v>
      </c>
      <c r="C694" s="15">
        <v>3.0</v>
      </c>
      <c r="D694" s="15">
        <v>1456.0</v>
      </c>
      <c r="E694" s="15">
        <v>7.0</v>
      </c>
      <c r="F694" s="15">
        <v>1.53</v>
      </c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</row>
    <row r="695" ht="19.5" customHeight="1">
      <c r="A695" s="15"/>
      <c r="B695" s="15">
        <v>2.0</v>
      </c>
      <c r="C695" s="15">
        <v>3.0</v>
      </c>
      <c r="D695" s="15">
        <v>2018.0</v>
      </c>
      <c r="E695" s="15">
        <v>19.0</v>
      </c>
      <c r="F695" s="15">
        <v>1.55</v>
      </c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</row>
    <row r="696" ht="19.5" customHeight="1">
      <c r="A696" s="15"/>
      <c r="B696" s="15">
        <v>2.0</v>
      </c>
      <c r="C696" s="15">
        <v>3.0</v>
      </c>
      <c r="D696" s="15">
        <v>992.0</v>
      </c>
      <c r="E696" s="15">
        <v>17.0</v>
      </c>
      <c r="F696" s="15">
        <v>2.27</v>
      </c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</row>
    <row r="697" ht="19.5" customHeight="1">
      <c r="A697" s="15"/>
      <c r="B697" s="15">
        <v>2.0</v>
      </c>
      <c r="C697" s="15">
        <v>3.0</v>
      </c>
      <c r="D697" s="15">
        <v>1145.0</v>
      </c>
      <c r="E697" s="15">
        <v>19.0</v>
      </c>
      <c r="F697" s="15">
        <v>2.25</v>
      </c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</row>
    <row r="698" ht="19.5" customHeight="1">
      <c r="A698" s="15"/>
      <c r="B698" s="15">
        <v>2.0</v>
      </c>
      <c r="C698" s="15">
        <v>3.0</v>
      </c>
      <c r="D698" s="15">
        <v>1940.0</v>
      </c>
      <c r="E698" s="15">
        <v>17.0</v>
      </c>
      <c r="F698" s="15">
        <v>1.0</v>
      </c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</row>
    <row r="699" ht="19.5" customHeight="1">
      <c r="A699" s="15"/>
      <c r="B699" s="15">
        <v>2.0</v>
      </c>
      <c r="C699" s="15">
        <v>3.0</v>
      </c>
      <c r="D699" s="15">
        <v>1012.0</v>
      </c>
      <c r="E699" s="15">
        <v>24.0</v>
      </c>
      <c r="F699" s="15">
        <v>0.32</v>
      </c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</row>
    <row r="700" ht="19.5" customHeight="1">
      <c r="A700" s="15"/>
      <c r="B700" s="15">
        <v>2.0</v>
      </c>
      <c r="C700" s="15">
        <v>3.0</v>
      </c>
      <c r="D700" s="15">
        <v>684.0</v>
      </c>
      <c r="E700" s="15">
        <v>9.0</v>
      </c>
      <c r="F700" s="15">
        <v>2.85</v>
      </c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</row>
    <row r="701" ht="19.5" customHeight="1">
      <c r="A701" s="15"/>
      <c r="B701" s="15">
        <v>2.0</v>
      </c>
      <c r="C701" s="15">
        <v>3.0</v>
      </c>
      <c r="D701" s="15">
        <v>738.0</v>
      </c>
      <c r="E701" s="15">
        <v>10.0</v>
      </c>
      <c r="F701" s="15">
        <v>1.9</v>
      </c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</row>
    <row r="702" ht="19.5" customHeight="1">
      <c r="A702" s="15"/>
      <c r="B702" s="15">
        <v>2.0</v>
      </c>
      <c r="C702" s="15">
        <v>3.0</v>
      </c>
      <c r="D702" s="15">
        <v>724.0</v>
      </c>
      <c r="E702" s="15">
        <v>12.0</v>
      </c>
      <c r="F702" s="15">
        <v>0.56</v>
      </c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</row>
    <row r="703" ht="19.5" customHeight="1">
      <c r="A703" s="15"/>
      <c r="B703" s="15">
        <v>2.0</v>
      </c>
      <c r="C703" s="15">
        <v>3.0</v>
      </c>
      <c r="D703" s="15">
        <v>1254.0</v>
      </c>
      <c r="E703" s="15">
        <v>19.0</v>
      </c>
      <c r="F703" s="15">
        <v>1.06</v>
      </c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</row>
    <row r="704" ht="19.5" customHeight="1">
      <c r="A704" s="15"/>
      <c r="B704" s="15">
        <v>2.0</v>
      </c>
      <c r="C704" s="15">
        <v>3.0</v>
      </c>
      <c r="D704" s="15">
        <v>1042.0</v>
      </c>
      <c r="E704" s="15">
        <v>9.0</v>
      </c>
      <c r="F704" s="15">
        <v>0.79</v>
      </c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</row>
    <row r="705" ht="19.5" customHeight="1">
      <c r="A705" s="15"/>
      <c r="B705" s="15">
        <v>2.0</v>
      </c>
      <c r="C705" s="15">
        <v>3.0</v>
      </c>
      <c r="D705" s="15">
        <v>1432.0</v>
      </c>
      <c r="E705" s="15">
        <v>11.0</v>
      </c>
      <c r="F705" s="15">
        <v>0.69</v>
      </c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</row>
    <row r="706" ht="19.5" customHeight="1">
      <c r="A706" s="15"/>
      <c r="B706" s="15">
        <v>2.0</v>
      </c>
      <c r="C706" s="15">
        <v>3.0</v>
      </c>
      <c r="D706" s="15">
        <v>994.0</v>
      </c>
      <c r="E706" s="15">
        <v>10.0</v>
      </c>
      <c r="F706" s="15">
        <v>1.04</v>
      </c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</row>
    <row r="707" ht="19.5" customHeight="1">
      <c r="A707" s="15"/>
      <c r="B707" s="15">
        <v>2.0</v>
      </c>
      <c r="C707" s="15">
        <v>3.0</v>
      </c>
      <c r="D707" s="15">
        <v>1028.0</v>
      </c>
      <c r="E707" s="15">
        <v>10.0</v>
      </c>
      <c r="F707" s="15">
        <v>2.14</v>
      </c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</row>
    <row r="708" ht="19.5" customHeight="1">
      <c r="A708" s="15"/>
      <c r="B708" s="15">
        <v>2.0</v>
      </c>
      <c r="C708" s="15">
        <v>3.0</v>
      </c>
      <c r="D708" s="15">
        <v>1406.0</v>
      </c>
      <c r="E708" s="15">
        <v>20.0</v>
      </c>
      <c r="F708" s="15">
        <v>0.32</v>
      </c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</row>
    <row r="709" ht="19.5" customHeight="1">
      <c r="A709" s="15"/>
      <c r="B709" s="15">
        <v>2.0</v>
      </c>
      <c r="C709" s="15">
        <v>3.0</v>
      </c>
      <c r="D709" s="15">
        <v>1130.0</v>
      </c>
      <c r="E709" s="15">
        <v>20.0</v>
      </c>
      <c r="F709" s="15">
        <v>0.0</v>
      </c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</row>
    <row r="710" ht="19.5" customHeight="1">
      <c r="A710" s="15"/>
      <c r="B710" s="15">
        <v>2.0</v>
      </c>
      <c r="C710" s="15">
        <v>3.0</v>
      </c>
      <c r="D710" s="15">
        <v>818.0</v>
      </c>
      <c r="E710" s="15">
        <v>9.0</v>
      </c>
      <c r="F710" s="15">
        <v>1.28</v>
      </c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</row>
    <row r="711" ht="19.5" customHeight="1">
      <c r="A711" s="15"/>
      <c r="B711" s="15">
        <v>2.0</v>
      </c>
      <c r="C711" s="15">
        <v>3.0</v>
      </c>
      <c r="D711" s="15">
        <v>834.0</v>
      </c>
      <c r="E711" s="15">
        <v>16.0</v>
      </c>
      <c r="F711" s="15">
        <v>2.85</v>
      </c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</row>
    <row r="712" ht="19.5" customHeight="1">
      <c r="A712" s="15"/>
      <c r="B712" s="15">
        <v>2.0</v>
      </c>
      <c r="C712" s="15">
        <v>3.0</v>
      </c>
      <c r="D712" s="15">
        <v>1315.0</v>
      </c>
      <c r="E712" s="15">
        <v>9.0</v>
      </c>
      <c r="F712" s="15">
        <v>1.13</v>
      </c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</row>
    <row r="713" ht="19.5" customHeight="1">
      <c r="A713" s="15"/>
      <c r="B713" s="15">
        <v>2.0</v>
      </c>
      <c r="C713" s="15">
        <v>3.0</v>
      </c>
      <c r="D713" s="15">
        <v>1783.0</v>
      </c>
      <c r="E713" s="15">
        <v>12.0</v>
      </c>
      <c r="F713" s="15">
        <v>1.16</v>
      </c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</row>
    <row r="714" ht="19.5" customHeight="1">
      <c r="A714" s="15"/>
      <c r="B714" s="15">
        <v>2.0</v>
      </c>
      <c r="C714" s="15">
        <v>3.0</v>
      </c>
      <c r="D714" s="15">
        <v>1210.0</v>
      </c>
      <c r="E714" s="15">
        <v>10.0</v>
      </c>
      <c r="F714" s="15">
        <v>0.53</v>
      </c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</row>
    <row r="715" ht="19.5" customHeight="1">
      <c r="A715" s="15"/>
      <c r="B715" s="15">
        <v>2.0</v>
      </c>
      <c r="C715" s="15">
        <v>3.0</v>
      </c>
      <c r="D715" s="15">
        <v>1241.0</v>
      </c>
      <c r="E715" s="15">
        <v>12.0</v>
      </c>
      <c r="F715" s="15">
        <v>1.55</v>
      </c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</row>
    <row r="716" ht="19.5" customHeight="1">
      <c r="A716" s="15"/>
      <c r="B716" s="15">
        <v>2.0</v>
      </c>
      <c r="C716" s="15">
        <v>3.0</v>
      </c>
      <c r="D716" s="15">
        <v>1207.0</v>
      </c>
      <c r="E716" s="15">
        <v>19.0</v>
      </c>
      <c r="F716" s="15">
        <v>0.8</v>
      </c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</row>
    <row r="717" ht="19.5" customHeight="1">
      <c r="A717" s="15"/>
      <c r="B717" s="15">
        <v>2.0</v>
      </c>
      <c r="C717" s="15">
        <v>3.0</v>
      </c>
      <c r="D717" s="15">
        <v>972.0</v>
      </c>
      <c r="E717" s="15">
        <v>3.0</v>
      </c>
      <c r="F717" s="15">
        <v>1.92</v>
      </c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</row>
    <row r="718" ht="19.5" customHeight="1">
      <c r="A718" s="15"/>
      <c r="B718" s="15">
        <v>2.0</v>
      </c>
      <c r="C718" s="15">
        <v>3.0</v>
      </c>
      <c r="D718" s="15">
        <v>1168.0</v>
      </c>
      <c r="E718" s="15">
        <v>12.0</v>
      </c>
      <c r="F718" s="15">
        <v>1.35</v>
      </c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</row>
    <row r="719" ht="19.5" customHeight="1">
      <c r="A719" s="15"/>
      <c r="B719" s="15">
        <v>2.0</v>
      </c>
      <c r="C719" s="15">
        <v>3.0</v>
      </c>
      <c r="D719" s="15">
        <v>1183.0</v>
      </c>
      <c r="E719" s="15">
        <v>6.0</v>
      </c>
      <c r="F719" s="15">
        <v>1.54</v>
      </c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</row>
    <row r="720" ht="19.5" customHeight="1">
      <c r="A720" s="15"/>
      <c r="B720" s="15">
        <v>2.0</v>
      </c>
      <c r="C720" s="15">
        <v>3.0</v>
      </c>
      <c r="D720" s="15">
        <v>1260.0</v>
      </c>
      <c r="E720" s="15">
        <v>19.0</v>
      </c>
      <c r="F720" s="15">
        <v>1.22</v>
      </c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</row>
    <row r="721" ht="19.5" customHeight="1">
      <c r="A721" s="15"/>
      <c r="B721" s="15">
        <v>2.0</v>
      </c>
      <c r="C721" s="15">
        <v>3.0</v>
      </c>
      <c r="D721" s="15">
        <v>1466.0</v>
      </c>
      <c r="E721" s="15">
        <v>16.0</v>
      </c>
      <c r="F721" s="15">
        <v>0.83</v>
      </c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</row>
    <row r="722" ht="19.5" customHeight="1">
      <c r="A722" s="15"/>
      <c r="B722" s="15">
        <v>2.0</v>
      </c>
      <c r="C722" s="15">
        <v>3.0</v>
      </c>
      <c r="D722" s="15">
        <v>1377.0</v>
      </c>
      <c r="E722" s="15">
        <v>7.0</v>
      </c>
      <c r="F722" s="15">
        <v>1.19</v>
      </c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</row>
    <row r="723" ht="19.5" customHeight="1">
      <c r="A723" s="15"/>
      <c r="B723" s="15">
        <v>2.0</v>
      </c>
      <c r="C723" s="15">
        <v>3.0</v>
      </c>
      <c r="D723" s="15">
        <v>1334.0</v>
      </c>
      <c r="E723" s="15">
        <v>18.0</v>
      </c>
      <c r="F723" s="15">
        <v>1.31</v>
      </c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</row>
    <row r="724" ht="19.5" customHeight="1">
      <c r="A724" s="15"/>
      <c r="B724" s="15">
        <v>2.0</v>
      </c>
      <c r="C724" s="15">
        <v>3.0</v>
      </c>
      <c r="D724" s="15">
        <v>729.0</v>
      </c>
      <c r="E724" s="15">
        <v>10.0</v>
      </c>
      <c r="F724" s="15">
        <v>0.71</v>
      </c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</row>
    <row r="725" ht="19.5" customHeight="1">
      <c r="A725" s="15"/>
      <c r="B725" s="15">
        <v>2.0</v>
      </c>
      <c r="C725" s="15">
        <v>3.0</v>
      </c>
      <c r="D725" s="15">
        <v>1162.0</v>
      </c>
      <c r="E725" s="15">
        <v>1.0</v>
      </c>
      <c r="F725" s="15">
        <v>1.52</v>
      </c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</row>
    <row r="726" ht="19.5" customHeight="1">
      <c r="A726" s="15"/>
      <c r="B726" s="15">
        <v>2.0</v>
      </c>
      <c r="C726" s="15">
        <v>3.0</v>
      </c>
      <c r="D726" s="15">
        <v>411.0</v>
      </c>
      <c r="E726" s="15">
        <v>19.0</v>
      </c>
      <c r="F726" s="15">
        <v>1.88</v>
      </c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</row>
    <row r="727" ht="19.5" customHeight="1">
      <c r="A727" s="15"/>
      <c r="B727" s="15">
        <v>2.0</v>
      </c>
      <c r="C727" s="15">
        <v>3.0</v>
      </c>
      <c r="D727" s="15">
        <v>944.0</v>
      </c>
      <c r="E727" s="15">
        <v>18.0</v>
      </c>
      <c r="F727" s="15">
        <v>1.42</v>
      </c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</row>
    <row r="728" ht="19.5" customHeight="1">
      <c r="A728" s="15"/>
      <c r="B728" s="15">
        <v>2.0</v>
      </c>
      <c r="C728" s="15">
        <v>3.0</v>
      </c>
      <c r="D728" s="15">
        <v>853.0</v>
      </c>
      <c r="E728" s="15">
        <v>11.0</v>
      </c>
      <c r="F728" s="15">
        <v>1.26</v>
      </c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</row>
    <row r="729" ht="19.5" customHeight="1">
      <c r="A729" s="15"/>
      <c r="B729" s="15">
        <v>2.0</v>
      </c>
      <c r="C729" s="15">
        <v>3.0</v>
      </c>
      <c r="D729" s="15">
        <v>1631.0</v>
      </c>
      <c r="E729" s="15">
        <v>9.0</v>
      </c>
      <c r="F729" s="15">
        <v>2.17</v>
      </c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</row>
    <row r="730" ht="19.5" customHeight="1">
      <c r="A730" s="15"/>
      <c r="B730" s="15">
        <v>2.0</v>
      </c>
      <c r="C730" s="15">
        <v>3.0</v>
      </c>
      <c r="D730" s="15">
        <v>778.0</v>
      </c>
      <c r="E730" s="15">
        <v>16.0</v>
      </c>
      <c r="F730" s="15">
        <v>1.48</v>
      </c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</row>
    <row r="731" ht="19.5" customHeight="1">
      <c r="A731" s="15"/>
      <c r="B731" s="15">
        <v>2.0</v>
      </c>
      <c r="C731" s="15">
        <v>3.0</v>
      </c>
      <c r="D731" s="15">
        <v>1420.0</v>
      </c>
      <c r="E731" s="15">
        <v>7.0</v>
      </c>
      <c r="F731" s="15">
        <v>1.35</v>
      </c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</row>
    <row r="732" ht="19.5" customHeight="1">
      <c r="A732" s="15"/>
      <c r="B732" s="15">
        <v>2.0</v>
      </c>
      <c r="C732" s="15">
        <v>3.0</v>
      </c>
      <c r="D732" s="15">
        <v>307.0</v>
      </c>
      <c r="E732" s="15">
        <v>10.0</v>
      </c>
      <c r="F732" s="15">
        <v>1.42</v>
      </c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</row>
    <row r="733" ht="19.5" customHeight="1">
      <c r="A733" s="15"/>
      <c r="B733" s="15">
        <v>2.0</v>
      </c>
      <c r="C733" s="15">
        <v>3.0</v>
      </c>
      <c r="D733" s="15">
        <v>790.0</v>
      </c>
      <c r="E733" s="15">
        <v>18.0</v>
      </c>
      <c r="F733" s="15">
        <v>1.4</v>
      </c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</row>
    <row r="734" ht="19.5" customHeight="1">
      <c r="A734" s="15"/>
      <c r="B734" s="15">
        <v>2.0</v>
      </c>
      <c r="C734" s="15">
        <v>3.0</v>
      </c>
      <c r="D734" s="15">
        <v>1254.0</v>
      </c>
      <c r="E734" s="15">
        <v>9.0</v>
      </c>
      <c r="F734" s="15">
        <v>1.65</v>
      </c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</row>
    <row r="735" ht="19.5" customHeight="1">
      <c r="A735" s="15"/>
      <c r="B735" s="15">
        <v>2.0</v>
      </c>
      <c r="C735" s="15">
        <v>3.0</v>
      </c>
      <c r="D735" s="15">
        <v>1251.0</v>
      </c>
      <c r="E735" s="15">
        <v>12.0</v>
      </c>
      <c r="F735" s="15">
        <v>2.45</v>
      </c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</row>
    <row r="736" ht="19.5" customHeight="1">
      <c r="A736" s="15"/>
      <c r="B736" s="15">
        <v>2.0</v>
      </c>
      <c r="C736" s="15">
        <v>3.0</v>
      </c>
      <c r="D736" s="15">
        <v>682.0</v>
      </c>
      <c r="E736" s="15">
        <v>17.0</v>
      </c>
      <c r="F736" s="15">
        <v>1.3</v>
      </c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</row>
    <row r="737" ht="19.5" customHeight="1">
      <c r="A737" s="15"/>
      <c r="B737" s="15">
        <v>2.0</v>
      </c>
      <c r="C737" s="15">
        <v>3.0</v>
      </c>
      <c r="D737" s="15">
        <v>1518.0</v>
      </c>
      <c r="E737" s="15">
        <v>10.0</v>
      </c>
      <c r="F737" s="15">
        <v>1.08</v>
      </c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</row>
    <row r="738" ht="19.5" customHeight="1">
      <c r="A738" s="15"/>
      <c r="B738" s="15">
        <v>2.0</v>
      </c>
      <c r="C738" s="15">
        <v>3.0</v>
      </c>
      <c r="D738" s="15">
        <v>1100.0</v>
      </c>
      <c r="E738" s="15">
        <v>14.0</v>
      </c>
      <c r="F738" s="15">
        <v>0.25</v>
      </c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</row>
    <row r="739" ht="19.5" customHeight="1">
      <c r="A739" s="15"/>
      <c r="B739" s="15">
        <v>2.0</v>
      </c>
      <c r="C739" s="15">
        <v>3.0</v>
      </c>
      <c r="D739" s="15">
        <v>1983.0</v>
      </c>
      <c r="E739" s="15">
        <v>12.0</v>
      </c>
      <c r="F739" s="15">
        <v>0.87</v>
      </c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</row>
    <row r="740" ht="19.5" customHeight="1">
      <c r="A740" s="15"/>
      <c r="B740" s="15">
        <v>2.0</v>
      </c>
      <c r="C740" s="15">
        <v>3.0</v>
      </c>
      <c r="D740" s="15">
        <v>1305.0</v>
      </c>
      <c r="E740" s="15">
        <v>9.0</v>
      </c>
      <c r="F740" s="15">
        <v>0.2</v>
      </c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</row>
    <row r="741" ht="19.5" customHeight="1">
      <c r="A741" s="15"/>
      <c r="B741" s="15">
        <v>2.0</v>
      </c>
      <c r="C741" s="15">
        <v>3.0</v>
      </c>
      <c r="D741" s="15">
        <v>1270.0</v>
      </c>
      <c r="E741" s="15">
        <v>10.0</v>
      </c>
      <c r="F741" s="15">
        <v>1.0</v>
      </c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</row>
    <row r="742" ht="19.5" customHeight="1">
      <c r="A742" s="15"/>
      <c r="B742" s="15">
        <v>2.0</v>
      </c>
      <c r="C742" s="15">
        <v>3.0</v>
      </c>
      <c r="D742" s="15">
        <v>1184.0</v>
      </c>
      <c r="E742" s="15">
        <v>3.0</v>
      </c>
      <c r="F742" s="15">
        <v>2.3</v>
      </c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</row>
    <row r="743" ht="19.5" customHeight="1">
      <c r="A743" s="15"/>
      <c r="B743" s="15">
        <v>2.0</v>
      </c>
      <c r="C743" s="15">
        <v>3.0</v>
      </c>
      <c r="D743" s="15">
        <v>846.0</v>
      </c>
      <c r="E743" s="15">
        <v>16.0</v>
      </c>
      <c r="F743" s="15">
        <v>1.76</v>
      </c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</row>
    <row r="744" ht="19.5" customHeight="1">
      <c r="A744" s="15"/>
      <c r="B744" s="15">
        <v>2.0</v>
      </c>
      <c r="C744" s="15">
        <v>3.0</v>
      </c>
      <c r="D744" s="15">
        <v>388.0</v>
      </c>
      <c r="E744" s="15">
        <v>13.0</v>
      </c>
      <c r="F744" s="15">
        <v>0.94</v>
      </c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</row>
    <row r="745" ht="19.5" customHeight="1">
      <c r="A745" s="15"/>
      <c r="B745" s="15">
        <v>2.0</v>
      </c>
      <c r="C745" s="15">
        <v>3.0</v>
      </c>
      <c r="D745" s="15">
        <v>1690.0</v>
      </c>
      <c r="E745" s="15">
        <v>5.0</v>
      </c>
      <c r="F745" s="15">
        <v>1.6</v>
      </c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</row>
    <row r="746" ht="19.5" customHeight="1">
      <c r="A746" s="15"/>
      <c r="B746" s="15">
        <v>2.0</v>
      </c>
      <c r="C746" s="15">
        <v>3.0</v>
      </c>
      <c r="D746" s="15">
        <v>1288.0</v>
      </c>
      <c r="E746" s="15">
        <v>20.0</v>
      </c>
      <c r="F746" s="15">
        <v>0.0</v>
      </c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</row>
    <row r="747" ht="19.5" customHeight="1">
      <c r="A747" s="15"/>
      <c r="B747" s="15">
        <v>2.0</v>
      </c>
      <c r="C747" s="15">
        <v>3.0</v>
      </c>
      <c r="D747" s="15">
        <v>1280.0</v>
      </c>
      <c r="E747" s="15">
        <v>11.0</v>
      </c>
      <c r="F747" s="15">
        <v>1.36</v>
      </c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</row>
    <row r="748" ht="19.5" customHeight="1">
      <c r="A748" s="15"/>
      <c r="B748" s="15">
        <v>2.0</v>
      </c>
      <c r="C748" s="15">
        <v>3.0</v>
      </c>
      <c r="D748" s="15">
        <v>1684.0</v>
      </c>
      <c r="E748" s="15">
        <v>18.0</v>
      </c>
      <c r="F748" s="15">
        <v>1.08</v>
      </c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</row>
    <row r="749" ht="19.5" customHeight="1">
      <c r="A749" s="15"/>
      <c r="B749" s="15">
        <v>2.0</v>
      </c>
      <c r="C749" s="15">
        <v>3.0</v>
      </c>
      <c r="D749" s="15">
        <v>637.0</v>
      </c>
      <c r="E749" s="15">
        <v>18.0</v>
      </c>
      <c r="F749" s="15">
        <v>1.38</v>
      </c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</row>
    <row r="750" ht="19.5" customHeight="1">
      <c r="A750" s="15"/>
      <c r="B750" s="15">
        <v>2.0</v>
      </c>
      <c r="C750" s="15">
        <v>3.0</v>
      </c>
      <c r="D750" s="15">
        <v>1175.0</v>
      </c>
      <c r="E750" s="15">
        <v>6.0</v>
      </c>
      <c r="F750" s="15">
        <v>1.71</v>
      </c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</row>
    <row r="751" ht="19.5" customHeight="1">
      <c r="A751" s="15"/>
      <c r="B751" s="15">
        <v>2.0</v>
      </c>
      <c r="C751" s="15">
        <v>3.0</v>
      </c>
      <c r="D751" s="15">
        <v>1042.0</v>
      </c>
      <c r="E751" s="15">
        <v>12.0</v>
      </c>
      <c r="F751" s="15">
        <v>1.65</v>
      </c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</row>
    <row r="752" ht="19.5" customHeight="1">
      <c r="A752" s="15"/>
      <c r="B752" s="15">
        <v>2.0</v>
      </c>
      <c r="C752" s="15">
        <v>3.0</v>
      </c>
      <c r="D752" s="15">
        <v>1066.0</v>
      </c>
      <c r="E752" s="15">
        <v>10.0</v>
      </c>
      <c r="F752" s="15">
        <v>1.45</v>
      </c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</row>
    <row r="753" ht="19.5" customHeight="1">
      <c r="A753" s="15"/>
      <c r="B753" s="15">
        <v>2.0</v>
      </c>
      <c r="C753" s="15">
        <v>3.0</v>
      </c>
      <c r="D753" s="15">
        <v>2025.0</v>
      </c>
      <c r="E753" s="15">
        <v>25.0</v>
      </c>
      <c r="F753" s="15">
        <v>0.75</v>
      </c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</row>
    <row r="754" ht="19.5" customHeight="1">
      <c r="A754" s="15"/>
      <c r="B754" s="15">
        <v>2.0</v>
      </c>
      <c r="C754" s="15">
        <v>3.0</v>
      </c>
      <c r="D754" s="15">
        <v>1318.0</v>
      </c>
      <c r="E754" s="15">
        <v>16.0</v>
      </c>
      <c r="F754" s="15">
        <v>1.06</v>
      </c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</row>
    <row r="755" ht="19.5" customHeight="1">
      <c r="A755" s="15"/>
      <c r="B755" s="15">
        <v>2.0</v>
      </c>
      <c r="C755" s="15">
        <v>3.0</v>
      </c>
      <c r="D755" s="15">
        <v>1475.0</v>
      </c>
      <c r="E755" s="15">
        <v>9.0</v>
      </c>
      <c r="F755" s="15">
        <v>1.53</v>
      </c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</row>
    <row r="756" ht="19.5" customHeight="1">
      <c r="A756" s="15"/>
      <c r="B756" s="15">
        <v>2.0</v>
      </c>
      <c r="C756" s="15">
        <v>3.0</v>
      </c>
      <c r="D756" s="15">
        <v>779.0</v>
      </c>
      <c r="E756" s="15">
        <v>8.0</v>
      </c>
      <c r="F756" s="15">
        <v>0.39</v>
      </c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</row>
    <row r="757" ht="19.5" customHeight="1">
      <c r="A757" s="15"/>
      <c r="B757" s="15">
        <v>2.0</v>
      </c>
      <c r="C757" s="15">
        <v>3.0</v>
      </c>
      <c r="D757" s="15">
        <v>569.0</v>
      </c>
      <c r="E757" s="15">
        <v>7.0</v>
      </c>
      <c r="F757" s="15">
        <v>2.04</v>
      </c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</row>
    <row r="758" ht="19.5" customHeight="1">
      <c r="A758" s="15"/>
      <c r="B758" s="15">
        <v>2.0</v>
      </c>
      <c r="C758" s="15">
        <v>3.0</v>
      </c>
      <c r="D758" s="15">
        <v>1356.0</v>
      </c>
      <c r="E758" s="15">
        <v>7.0</v>
      </c>
      <c r="F758" s="15">
        <v>1.62</v>
      </c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</row>
    <row r="759" ht="19.5" customHeight="1">
      <c r="A759" s="15"/>
      <c r="B759" s="15">
        <v>2.0</v>
      </c>
      <c r="C759" s="15">
        <v>3.0</v>
      </c>
      <c r="D759" s="15">
        <v>1582.0</v>
      </c>
      <c r="E759" s="15">
        <v>26.0</v>
      </c>
      <c r="F759" s="15">
        <v>0.94</v>
      </c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</row>
    <row r="760" ht="19.5" customHeight="1">
      <c r="A760" s="15"/>
      <c r="B760" s="15">
        <v>2.0</v>
      </c>
      <c r="C760" s="15">
        <v>3.0</v>
      </c>
      <c r="D760" s="15">
        <v>1161.0</v>
      </c>
      <c r="E760" s="15">
        <v>19.0</v>
      </c>
      <c r="F760" s="15">
        <v>1.78</v>
      </c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</row>
    <row r="761" ht="19.5" customHeight="1">
      <c r="A761" s="15"/>
      <c r="B761" s="15">
        <v>2.0</v>
      </c>
      <c r="C761" s="15">
        <v>3.0</v>
      </c>
      <c r="D761" s="15">
        <v>1307.0</v>
      </c>
      <c r="E761" s="15">
        <v>7.0</v>
      </c>
      <c r="F761" s="15">
        <v>2.23</v>
      </c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</row>
    <row r="762" ht="19.5" customHeight="1">
      <c r="A762" s="15"/>
      <c r="B762" s="15">
        <v>2.0</v>
      </c>
      <c r="C762" s="15">
        <v>3.0</v>
      </c>
      <c r="D762" s="15">
        <v>2039.0</v>
      </c>
      <c r="E762" s="15">
        <v>11.0</v>
      </c>
      <c r="F762" s="15">
        <v>1.15</v>
      </c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</row>
    <row r="763" ht="19.5" customHeight="1">
      <c r="A763" s="15"/>
      <c r="B763" s="15">
        <v>2.0</v>
      </c>
      <c r="C763" s="15">
        <v>3.0</v>
      </c>
      <c r="D763" s="15">
        <v>1458.0</v>
      </c>
      <c r="E763" s="15">
        <v>13.0</v>
      </c>
      <c r="F763" s="15">
        <v>1.59</v>
      </c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</row>
    <row r="764" ht="19.5" customHeight="1">
      <c r="A764" s="15"/>
      <c r="B764" s="15">
        <v>2.0</v>
      </c>
      <c r="C764" s="15">
        <v>3.0</v>
      </c>
      <c r="D764" s="15">
        <v>474.0</v>
      </c>
      <c r="E764" s="15">
        <v>13.0</v>
      </c>
      <c r="F764" s="15">
        <v>2.08</v>
      </c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</row>
    <row r="765" ht="19.5" customHeight="1">
      <c r="A765" s="15"/>
      <c r="B765" s="15">
        <v>2.0</v>
      </c>
      <c r="C765" s="15">
        <v>3.0</v>
      </c>
      <c r="D765" s="15">
        <v>1249.0</v>
      </c>
      <c r="E765" s="15">
        <v>17.0</v>
      </c>
      <c r="F765" s="15">
        <v>2.36</v>
      </c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</row>
    <row r="766" ht="19.5" customHeight="1">
      <c r="A766" s="15"/>
      <c r="B766" s="15">
        <v>2.0</v>
      </c>
      <c r="C766" s="15">
        <v>3.0</v>
      </c>
      <c r="D766" s="15">
        <v>1216.0</v>
      </c>
      <c r="E766" s="15">
        <v>18.0</v>
      </c>
      <c r="F766" s="15">
        <v>1.58</v>
      </c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</row>
    <row r="767" ht="19.5" customHeight="1">
      <c r="A767" s="15"/>
      <c r="B767" s="15">
        <v>2.0</v>
      </c>
      <c r="C767" s="15">
        <v>3.0</v>
      </c>
      <c r="D767" s="15">
        <v>1578.0</v>
      </c>
      <c r="E767" s="15">
        <v>10.0</v>
      </c>
      <c r="F767" s="15">
        <v>2.55</v>
      </c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</row>
    <row r="768" ht="19.5" customHeight="1">
      <c r="A768" s="15"/>
      <c r="B768" s="15">
        <v>2.0</v>
      </c>
      <c r="C768" s="15">
        <v>3.0</v>
      </c>
      <c r="D768" s="15">
        <v>967.0</v>
      </c>
      <c r="E768" s="15">
        <v>10.0</v>
      </c>
      <c r="F768" s="15">
        <v>1.81</v>
      </c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</row>
    <row r="769" ht="19.5" customHeight="1">
      <c r="A769" s="15"/>
      <c r="B769" s="15">
        <v>2.0</v>
      </c>
      <c r="C769" s="15">
        <v>3.0</v>
      </c>
      <c r="D769" s="15">
        <v>837.0</v>
      </c>
      <c r="E769" s="15">
        <v>13.0</v>
      </c>
      <c r="F769" s="15">
        <v>1.74</v>
      </c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</row>
    <row r="770" ht="19.5" customHeight="1">
      <c r="A770" s="15"/>
      <c r="B770" s="15">
        <v>2.0</v>
      </c>
      <c r="C770" s="15">
        <v>3.0</v>
      </c>
      <c r="D770" s="15">
        <v>1021.0</v>
      </c>
      <c r="E770" s="15">
        <v>17.0</v>
      </c>
      <c r="F770" s="15">
        <v>0.95</v>
      </c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</row>
    <row r="771" ht="19.5" customHeight="1">
      <c r="A771" s="15"/>
      <c r="B771" s="15">
        <v>2.0</v>
      </c>
      <c r="C771" s="15">
        <v>3.0</v>
      </c>
      <c r="D771" s="15">
        <v>761.0</v>
      </c>
      <c r="E771" s="15">
        <v>10.0</v>
      </c>
      <c r="F771" s="15">
        <v>0.69</v>
      </c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</row>
    <row r="772" ht="19.5" customHeight="1">
      <c r="A772" s="15"/>
      <c r="B772" s="15">
        <v>2.0</v>
      </c>
      <c r="C772" s="15">
        <v>3.0</v>
      </c>
      <c r="D772" s="15">
        <v>1237.0</v>
      </c>
      <c r="E772" s="15">
        <v>6.0</v>
      </c>
      <c r="F772" s="15">
        <v>1.22</v>
      </c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</row>
    <row r="773" ht="19.5" customHeight="1">
      <c r="A773" s="15"/>
      <c r="B773" s="15">
        <v>2.0</v>
      </c>
      <c r="C773" s="15">
        <v>3.0</v>
      </c>
      <c r="D773" s="15">
        <v>535.0</v>
      </c>
      <c r="E773" s="15">
        <v>8.0</v>
      </c>
      <c r="F773" s="15">
        <v>1.81</v>
      </c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</row>
    <row r="774" ht="19.5" customHeight="1">
      <c r="A774" s="15"/>
      <c r="B774" s="15">
        <v>2.0</v>
      </c>
      <c r="C774" s="15">
        <v>3.0</v>
      </c>
      <c r="D774" s="15">
        <v>912.0</v>
      </c>
      <c r="E774" s="15">
        <v>20.0</v>
      </c>
      <c r="F774" s="15">
        <v>2.88</v>
      </c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</row>
    <row r="775" ht="19.5" customHeight="1">
      <c r="A775" s="15"/>
      <c r="B775" s="15">
        <v>2.0</v>
      </c>
      <c r="C775" s="15">
        <v>3.0</v>
      </c>
      <c r="D775" s="15">
        <v>808.0</v>
      </c>
      <c r="E775" s="15">
        <v>18.0</v>
      </c>
      <c r="F775" s="15">
        <v>0.97</v>
      </c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</row>
    <row r="776" ht="19.5" customHeight="1">
      <c r="A776" s="15"/>
      <c r="B776" s="15">
        <v>2.0</v>
      </c>
      <c r="C776" s="15">
        <v>3.0</v>
      </c>
      <c r="D776" s="15">
        <v>1518.0</v>
      </c>
      <c r="E776" s="15">
        <v>21.0</v>
      </c>
      <c r="F776" s="15">
        <v>1.31</v>
      </c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</row>
    <row r="777" ht="19.5" customHeight="1">
      <c r="A777" s="15"/>
      <c r="B777" s="15">
        <v>2.0</v>
      </c>
      <c r="C777" s="15">
        <v>3.0</v>
      </c>
      <c r="D777" s="15">
        <v>1760.0</v>
      </c>
      <c r="E777" s="15">
        <v>13.0</v>
      </c>
      <c r="F777" s="15">
        <v>0.7</v>
      </c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</row>
    <row r="778" ht="19.5" customHeight="1">
      <c r="A778" s="15"/>
      <c r="B778" s="15">
        <v>2.0</v>
      </c>
      <c r="C778" s="15">
        <v>3.0</v>
      </c>
      <c r="D778" s="15">
        <v>990.0</v>
      </c>
      <c r="E778" s="15">
        <v>11.0</v>
      </c>
      <c r="F778" s="15">
        <v>0.84</v>
      </c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</row>
    <row r="779" ht="19.5" customHeight="1">
      <c r="A779" s="15"/>
      <c r="B779" s="15">
        <v>2.0</v>
      </c>
      <c r="C779" s="15">
        <v>3.0</v>
      </c>
      <c r="D779" s="15">
        <v>1270.0</v>
      </c>
      <c r="E779" s="15">
        <v>14.0</v>
      </c>
      <c r="F779" s="15">
        <v>1.5</v>
      </c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</row>
    <row r="780" ht="19.5" customHeight="1">
      <c r="A780" s="15"/>
      <c r="B780" s="15">
        <v>2.0</v>
      </c>
      <c r="C780" s="15">
        <v>3.0</v>
      </c>
      <c r="D780" s="15">
        <v>1586.0</v>
      </c>
      <c r="E780" s="15">
        <v>18.0</v>
      </c>
      <c r="F780" s="15">
        <v>0.86</v>
      </c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</row>
    <row r="781" ht="19.5" customHeight="1">
      <c r="A781" s="15"/>
      <c r="B781" s="15">
        <v>2.0</v>
      </c>
      <c r="C781" s="15">
        <v>3.0</v>
      </c>
      <c r="D781" s="15">
        <v>1242.0</v>
      </c>
      <c r="E781" s="15">
        <v>23.0</v>
      </c>
      <c r="F781" s="15">
        <v>1.02</v>
      </c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</row>
    <row r="782" ht="19.5" customHeight="1">
      <c r="A782" s="15"/>
      <c r="B782" s="15">
        <v>2.0</v>
      </c>
      <c r="C782" s="15">
        <v>3.0</v>
      </c>
      <c r="D782" s="15">
        <v>1116.0</v>
      </c>
      <c r="E782" s="15">
        <v>15.0</v>
      </c>
      <c r="F782" s="15">
        <v>1.21</v>
      </c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</row>
    <row r="783" ht="19.5" customHeight="1">
      <c r="A783" s="15"/>
      <c r="B783" s="15">
        <v>2.0</v>
      </c>
      <c r="C783" s="15">
        <v>3.0</v>
      </c>
      <c r="D783" s="15">
        <v>962.0</v>
      </c>
      <c r="E783" s="15">
        <v>18.0</v>
      </c>
      <c r="F783" s="15">
        <v>2.1</v>
      </c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</row>
    <row r="784" ht="19.5" customHeight="1">
      <c r="A784" s="15"/>
      <c r="B784" s="15">
        <v>2.0</v>
      </c>
      <c r="C784" s="15">
        <v>3.0</v>
      </c>
      <c r="D784" s="15">
        <v>1067.0</v>
      </c>
      <c r="E784" s="15">
        <v>16.0</v>
      </c>
      <c r="F784" s="15">
        <v>0.78</v>
      </c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</row>
    <row r="785" ht="19.5" customHeight="1">
      <c r="A785" s="15"/>
      <c r="B785" s="15">
        <v>2.0</v>
      </c>
      <c r="C785" s="15">
        <v>3.0</v>
      </c>
      <c r="D785" s="15">
        <v>1644.0</v>
      </c>
      <c r="E785" s="15">
        <v>12.0</v>
      </c>
      <c r="F785" s="15">
        <v>1.12</v>
      </c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</row>
    <row r="786" ht="19.5" customHeight="1">
      <c r="A786" s="15"/>
      <c r="B786" s="15">
        <v>2.0</v>
      </c>
      <c r="C786" s="15">
        <v>3.0</v>
      </c>
      <c r="D786" s="15">
        <v>717.0</v>
      </c>
      <c r="E786" s="15">
        <v>9.0</v>
      </c>
      <c r="F786" s="15">
        <v>1.64</v>
      </c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</row>
    <row r="787" ht="19.5" customHeight="1">
      <c r="A787" s="15"/>
      <c r="B787" s="15">
        <v>2.0</v>
      </c>
      <c r="C787" s="15">
        <v>3.0</v>
      </c>
      <c r="D787" s="15">
        <v>1462.0</v>
      </c>
      <c r="E787" s="15">
        <v>4.0</v>
      </c>
      <c r="F787" s="15">
        <v>1.81</v>
      </c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</row>
    <row r="788" ht="19.5" customHeight="1">
      <c r="A788" s="15"/>
      <c r="B788" s="15">
        <v>2.0</v>
      </c>
      <c r="C788" s="15">
        <v>3.0</v>
      </c>
      <c r="D788" s="15">
        <v>868.0</v>
      </c>
      <c r="E788" s="15">
        <v>19.0</v>
      </c>
      <c r="F788" s="15">
        <v>3.08</v>
      </c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</row>
    <row r="789" ht="19.5" customHeight="1">
      <c r="A789" s="15"/>
      <c r="B789" s="15">
        <v>2.0</v>
      </c>
      <c r="C789" s="15">
        <v>3.0</v>
      </c>
      <c r="D789" s="15">
        <v>1568.0</v>
      </c>
      <c r="E789" s="15">
        <v>8.0</v>
      </c>
      <c r="F789" s="15">
        <v>0.99</v>
      </c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</row>
    <row r="790" ht="19.5" customHeight="1">
      <c r="A790" s="15"/>
      <c r="B790" s="15">
        <v>2.0</v>
      </c>
      <c r="C790" s="15">
        <v>3.0</v>
      </c>
      <c r="D790" s="15">
        <v>820.0</v>
      </c>
      <c r="E790" s="15">
        <v>11.0</v>
      </c>
      <c r="F790" s="15">
        <v>0.86</v>
      </c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</row>
    <row r="791" ht="19.5" customHeight="1">
      <c r="A791" s="15"/>
      <c r="B791" s="15">
        <v>2.0</v>
      </c>
      <c r="C791" s="15">
        <v>3.0</v>
      </c>
      <c r="D791" s="15">
        <v>1396.0</v>
      </c>
      <c r="E791" s="15">
        <v>16.0</v>
      </c>
      <c r="F791" s="15">
        <v>1.08</v>
      </c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</row>
    <row r="792" ht="19.5" customHeight="1">
      <c r="A792" s="15"/>
      <c r="B792" s="15">
        <v>2.0</v>
      </c>
      <c r="C792" s="15">
        <v>3.0</v>
      </c>
      <c r="D792" s="15">
        <v>1378.0</v>
      </c>
      <c r="E792" s="15">
        <v>14.0</v>
      </c>
      <c r="F792" s="15">
        <v>1.27</v>
      </c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</row>
    <row r="793" ht="19.5" customHeight="1">
      <c r="A793" s="15"/>
      <c r="B793" s="15">
        <v>2.0</v>
      </c>
      <c r="C793" s="15">
        <v>3.0</v>
      </c>
      <c r="D793" s="15">
        <v>1472.0</v>
      </c>
      <c r="E793" s="15">
        <v>7.0</v>
      </c>
      <c r="F793" s="15">
        <v>0.48</v>
      </c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</row>
    <row r="794" ht="19.5" customHeight="1">
      <c r="A794" s="15"/>
      <c r="B794" s="15">
        <v>2.0</v>
      </c>
      <c r="C794" s="15">
        <v>3.0</v>
      </c>
      <c r="D794" s="15">
        <v>1276.0</v>
      </c>
      <c r="E794" s="15">
        <v>19.0</v>
      </c>
      <c r="F794" s="15">
        <v>0.17</v>
      </c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</row>
    <row r="795" ht="19.5" customHeight="1">
      <c r="A795" s="15"/>
      <c r="B795" s="15">
        <v>2.0</v>
      </c>
      <c r="C795" s="15">
        <v>3.0</v>
      </c>
      <c r="D795" s="15">
        <v>1518.0</v>
      </c>
      <c r="E795" s="15">
        <v>14.0</v>
      </c>
      <c r="F795" s="15">
        <v>0.94</v>
      </c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</row>
    <row r="796" ht="19.5" customHeight="1">
      <c r="A796" s="15"/>
      <c r="B796" s="15">
        <v>2.0</v>
      </c>
      <c r="C796" s="15">
        <v>3.0</v>
      </c>
      <c r="D796" s="15">
        <v>1497.0</v>
      </c>
      <c r="E796" s="15">
        <v>12.0</v>
      </c>
      <c r="F796" s="15">
        <v>1.9</v>
      </c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</row>
    <row r="797" ht="19.5" customHeight="1">
      <c r="A797" s="15"/>
      <c r="B797" s="15">
        <v>2.0</v>
      </c>
      <c r="C797" s="15">
        <v>3.0</v>
      </c>
      <c r="D797" s="15">
        <v>1175.0</v>
      </c>
      <c r="E797" s="15">
        <v>7.0</v>
      </c>
      <c r="F797" s="15">
        <v>0.99</v>
      </c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</row>
    <row r="798" ht="19.5" customHeight="1">
      <c r="A798" s="15"/>
      <c r="B798" s="15">
        <v>2.0</v>
      </c>
      <c r="C798" s="15">
        <v>3.0</v>
      </c>
      <c r="D798" s="15">
        <v>1536.0</v>
      </c>
      <c r="E798" s="15">
        <v>8.0</v>
      </c>
      <c r="F798" s="15">
        <v>1.15</v>
      </c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</row>
    <row r="799" ht="19.5" customHeight="1">
      <c r="A799" s="15"/>
      <c r="B799" s="15">
        <v>2.0</v>
      </c>
      <c r="C799" s="15">
        <v>3.0</v>
      </c>
      <c r="D799" s="15">
        <v>921.0</v>
      </c>
      <c r="E799" s="15">
        <v>6.0</v>
      </c>
      <c r="F799" s="15">
        <v>0.64</v>
      </c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</row>
    <row r="800" ht="19.5" customHeight="1">
      <c r="A800" s="15"/>
      <c r="B800" s="15">
        <v>2.0</v>
      </c>
      <c r="C800" s="15">
        <v>3.0</v>
      </c>
      <c r="D800" s="15">
        <v>970.0</v>
      </c>
      <c r="E800" s="15">
        <v>8.0</v>
      </c>
      <c r="F800" s="15">
        <v>1.03</v>
      </c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</row>
    <row r="801" ht="19.5" customHeight="1">
      <c r="A801" s="15"/>
      <c r="B801" s="15">
        <v>2.0</v>
      </c>
      <c r="C801" s="15">
        <v>3.0</v>
      </c>
      <c r="D801" s="15">
        <v>1188.0</v>
      </c>
      <c r="E801" s="15">
        <v>1.0</v>
      </c>
      <c r="F801" s="15">
        <v>0.52</v>
      </c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</row>
    <row r="802" ht="19.5" customHeight="1">
      <c r="A802" s="15"/>
      <c r="B802" s="15">
        <v>2.0</v>
      </c>
      <c r="C802" s="15">
        <v>3.0</v>
      </c>
      <c r="D802" s="15">
        <v>634.0</v>
      </c>
      <c r="E802" s="15">
        <v>21.0</v>
      </c>
      <c r="F802" s="15">
        <v>1.81</v>
      </c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</row>
    <row r="803" ht="19.5" customHeight="1">
      <c r="A803" s="15"/>
      <c r="B803" s="15">
        <v>2.0</v>
      </c>
      <c r="C803" s="15">
        <v>3.0</v>
      </c>
      <c r="D803" s="15">
        <v>911.0</v>
      </c>
      <c r="E803" s="15">
        <v>3.0</v>
      </c>
      <c r="F803" s="15">
        <v>1.19</v>
      </c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</row>
    <row r="804" ht="19.5" customHeight="1">
      <c r="A804" s="15"/>
      <c r="B804" s="15">
        <v>2.0</v>
      </c>
      <c r="C804" s="15">
        <v>3.0</v>
      </c>
      <c r="D804" s="15">
        <v>547.0</v>
      </c>
      <c r="E804" s="15">
        <v>9.0</v>
      </c>
      <c r="F804" s="15">
        <v>0.91</v>
      </c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</row>
    <row r="805" ht="19.5" customHeight="1">
      <c r="A805" s="15"/>
      <c r="B805" s="15">
        <v>2.0</v>
      </c>
      <c r="C805" s="15">
        <v>3.0</v>
      </c>
      <c r="D805" s="15">
        <v>1477.0</v>
      </c>
      <c r="E805" s="15">
        <v>8.0</v>
      </c>
      <c r="F805" s="15">
        <v>1.68</v>
      </c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</row>
    <row r="806" ht="19.5" customHeight="1">
      <c r="A806" s="15"/>
      <c r="B806" s="15">
        <v>2.0</v>
      </c>
      <c r="C806" s="15">
        <v>3.0</v>
      </c>
      <c r="D806" s="15">
        <v>1882.0</v>
      </c>
      <c r="E806" s="15">
        <v>1.0</v>
      </c>
      <c r="F806" s="15">
        <v>1.45</v>
      </c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</row>
    <row r="807" ht="19.5" customHeight="1">
      <c r="A807" s="15"/>
      <c r="B807" s="15">
        <v>2.0</v>
      </c>
      <c r="C807" s="15">
        <v>3.0</v>
      </c>
      <c r="D807" s="15">
        <v>1356.0</v>
      </c>
      <c r="E807" s="15">
        <v>19.0</v>
      </c>
      <c r="F807" s="15">
        <v>1.82</v>
      </c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</row>
    <row r="808" ht="19.5" customHeight="1">
      <c r="A808" s="15"/>
      <c r="B808" s="15">
        <v>2.0</v>
      </c>
      <c r="C808" s="15">
        <v>3.0</v>
      </c>
      <c r="D808" s="15">
        <v>704.0</v>
      </c>
      <c r="E808" s="15">
        <v>6.0</v>
      </c>
      <c r="F808" s="15">
        <v>1.71</v>
      </c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</row>
    <row r="809" ht="19.5" customHeight="1">
      <c r="A809" s="15"/>
      <c r="B809" s="15">
        <v>2.0</v>
      </c>
      <c r="C809" s="15">
        <v>3.0</v>
      </c>
      <c r="D809" s="15">
        <v>1109.0</v>
      </c>
      <c r="E809" s="15">
        <v>14.0</v>
      </c>
      <c r="F809" s="15">
        <v>1.32</v>
      </c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</row>
    <row r="810" ht="19.5" customHeight="1">
      <c r="A810" s="15"/>
      <c r="B810" s="15">
        <v>2.0</v>
      </c>
      <c r="C810" s="15">
        <v>3.0</v>
      </c>
      <c r="D810" s="15">
        <v>1049.0</v>
      </c>
      <c r="E810" s="15">
        <v>8.0</v>
      </c>
      <c r="F810" s="15">
        <v>2.16</v>
      </c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</row>
    <row r="811" ht="19.5" customHeight="1">
      <c r="A811" s="15"/>
      <c r="B811" s="15">
        <v>2.0</v>
      </c>
      <c r="C811" s="15">
        <v>3.0</v>
      </c>
      <c r="D811" s="15">
        <v>1041.0</v>
      </c>
      <c r="E811" s="15">
        <v>2.0</v>
      </c>
      <c r="F811" s="15">
        <v>0.88</v>
      </c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</row>
    <row r="812" ht="19.5" customHeight="1">
      <c r="A812" s="15"/>
      <c r="B812" s="15">
        <v>2.0</v>
      </c>
      <c r="C812" s="15">
        <v>3.0</v>
      </c>
      <c r="D812" s="15">
        <v>1734.0</v>
      </c>
      <c r="E812" s="15">
        <v>16.0</v>
      </c>
      <c r="F812" s="15">
        <v>1.48</v>
      </c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</row>
    <row r="813" ht="19.5" customHeight="1">
      <c r="A813" s="15"/>
      <c r="B813" s="15">
        <v>2.0</v>
      </c>
      <c r="C813" s="15">
        <v>3.0</v>
      </c>
      <c r="D813" s="15">
        <v>1144.0</v>
      </c>
      <c r="E813" s="15">
        <v>19.0</v>
      </c>
      <c r="F813" s="15">
        <v>1.27</v>
      </c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</row>
    <row r="814" ht="19.5" customHeight="1">
      <c r="A814" s="15"/>
      <c r="B814" s="15">
        <v>2.0</v>
      </c>
      <c r="C814" s="15">
        <v>3.0</v>
      </c>
      <c r="D814" s="15">
        <v>1130.0</v>
      </c>
      <c r="E814" s="15">
        <v>21.0</v>
      </c>
      <c r="F814" s="15">
        <v>0.45</v>
      </c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</row>
    <row r="815" ht="19.5" customHeight="1">
      <c r="A815" s="15"/>
      <c r="B815" s="15">
        <v>2.0</v>
      </c>
      <c r="C815" s="15">
        <v>3.0</v>
      </c>
      <c r="D815" s="15">
        <v>780.0</v>
      </c>
      <c r="E815" s="15">
        <v>14.0</v>
      </c>
      <c r="F815" s="15">
        <v>0.93</v>
      </c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</row>
    <row r="816" ht="19.5" customHeight="1">
      <c r="A816" s="15"/>
      <c r="B816" s="15">
        <v>2.0</v>
      </c>
      <c r="C816" s="15">
        <v>3.0</v>
      </c>
      <c r="D816" s="15">
        <v>1627.0</v>
      </c>
      <c r="E816" s="15">
        <v>7.0</v>
      </c>
      <c r="F816" s="15">
        <v>2.21</v>
      </c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</row>
    <row r="817" ht="19.5" customHeight="1">
      <c r="A817" s="15"/>
      <c r="B817" s="15">
        <v>2.0</v>
      </c>
      <c r="C817" s="15">
        <v>3.0</v>
      </c>
      <c r="D817" s="15">
        <v>1909.0</v>
      </c>
      <c r="E817" s="15">
        <v>17.0</v>
      </c>
      <c r="F817" s="15">
        <v>1.21</v>
      </c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</row>
    <row r="818" ht="19.5" customHeight="1">
      <c r="A818" s="15"/>
      <c r="B818" s="15">
        <v>2.0</v>
      </c>
      <c r="C818" s="15">
        <v>3.0</v>
      </c>
      <c r="D818" s="15">
        <v>1471.0</v>
      </c>
      <c r="E818" s="15">
        <v>7.0</v>
      </c>
      <c r="F818" s="15">
        <v>1.85</v>
      </c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</row>
    <row r="819" ht="19.5" customHeight="1">
      <c r="A819" s="15"/>
      <c r="B819" s="15">
        <v>2.0</v>
      </c>
      <c r="C819" s="15">
        <v>3.0</v>
      </c>
      <c r="D819" s="15">
        <v>1196.0</v>
      </c>
      <c r="E819" s="15">
        <v>14.0</v>
      </c>
      <c r="F819" s="15">
        <v>1.32</v>
      </c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</row>
    <row r="820" ht="19.5" customHeight="1">
      <c r="A820" s="15"/>
      <c r="B820" s="15">
        <v>2.0</v>
      </c>
      <c r="C820" s="15">
        <v>3.0</v>
      </c>
      <c r="D820" s="15">
        <v>1181.0</v>
      </c>
      <c r="E820" s="15">
        <v>22.0</v>
      </c>
      <c r="F820" s="15">
        <v>0.56</v>
      </c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</row>
    <row r="821" ht="19.5" customHeight="1">
      <c r="A821" s="15"/>
      <c r="B821" s="15">
        <v>2.0</v>
      </c>
      <c r="C821" s="15">
        <v>3.0</v>
      </c>
      <c r="D821" s="15">
        <v>1346.0</v>
      </c>
      <c r="E821" s="15">
        <v>10.0</v>
      </c>
      <c r="F821" s="15">
        <v>0.0</v>
      </c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</row>
    <row r="822" ht="19.5" customHeight="1">
      <c r="A822" s="15"/>
      <c r="B822" s="15">
        <v>2.0</v>
      </c>
      <c r="C822" s="15">
        <v>3.0</v>
      </c>
      <c r="D822" s="15">
        <v>1510.0</v>
      </c>
      <c r="E822" s="15">
        <v>11.0</v>
      </c>
      <c r="F822" s="15">
        <v>0.75</v>
      </c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</row>
    <row r="823" ht="19.5" customHeight="1">
      <c r="A823" s="15"/>
      <c r="B823" s="15">
        <v>2.0</v>
      </c>
      <c r="C823" s="15">
        <v>3.0</v>
      </c>
      <c r="D823" s="15">
        <v>1521.0</v>
      </c>
      <c r="E823" s="15">
        <v>7.0</v>
      </c>
      <c r="F823" s="15">
        <v>1.13</v>
      </c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</row>
    <row r="824" ht="19.5" customHeight="1">
      <c r="A824" s="15"/>
      <c r="B824" s="15">
        <v>2.0</v>
      </c>
      <c r="C824" s="15">
        <v>3.0</v>
      </c>
      <c r="D824" s="15">
        <v>1494.0</v>
      </c>
      <c r="E824" s="15">
        <v>16.0</v>
      </c>
      <c r="F824" s="15">
        <v>0.7</v>
      </c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</row>
    <row r="825" ht="19.5" customHeight="1">
      <c r="A825" s="15"/>
      <c r="B825" s="15">
        <v>2.0</v>
      </c>
      <c r="C825" s="15">
        <v>3.0</v>
      </c>
      <c r="D825" s="15">
        <v>1043.0</v>
      </c>
      <c r="E825" s="15">
        <v>7.0</v>
      </c>
      <c r="F825" s="15">
        <v>1.34</v>
      </c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</row>
    <row r="826" ht="19.5" customHeight="1">
      <c r="A826" s="15"/>
      <c r="B826" s="15">
        <v>2.0</v>
      </c>
      <c r="C826" s="15">
        <v>3.0</v>
      </c>
      <c r="D826" s="15">
        <v>1452.0</v>
      </c>
      <c r="E826" s="15">
        <v>5.0</v>
      </c>
      <c r="F826" s="15">
        <v>0.04</v>
      </c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</row>
    <row r="827" ht="19.5" customHeight="1">
      <c r="A827" s="15"/>
      <c r="B827" s="15">
        <v>2.0</v>
      </c>
      <c r="C827" s="15">
        <v>3.0</v>
      </c>
      <c r="D827" s="15">
        <v>999.0</v>
      </c>
      <c r="E827" s="15">
        <v>14.0</v>
      </c>
      <c r="F827" s="15">
        <v>2.07</v>
      </c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</row>
    <row r="828" ht="19.5" customHeight="1">
      <c r="A828" s="15"/>
      <c r="B828" s="15">
        <v>2.0</v>
      </c>
      <c r="C828" s="15">
        <v>3.0</v>
      </c>
      <c r="D828" s="15">
        <v>630.0</v>
      </c>
      <c r="E828" s="15">
        <v>1.0</v>
      </c>
      <c r="F828" s="15">
        <v>2.86</v>
      </c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</row>
    <row r="829" ht="19.5" customHeight="1">
      <c r="A829" s="15"/>
      <c r="B829" s="15">
        <v>2.0</v>
      </c>
      <c r="C829" s="15">
        <v>3.0</v>
      </c>
      <c r="D829" s="15">
        <v>1995.0</v>
      </c>
      <c r="E829" s="15">
        <v>8.0</v>
      </c>
      <c r="F829" s="15">
        <v>1.16</v>
      </c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</row>
    <row r="830" ht="19.5" customHeight="1">
      <c r="A830" s="15"/>
      <c r="B830" s="15">
        <v>2.0</v>
      </c>
      <c r="C830" s="15">
        <v>3.0</v>
      </c>
      <c r="D830" s="15">
        <v>620.0</v>
      </c>
      <c r="E830" s="15">
        <v>4.0</v>
      </c>
      <c r="F830" s="15">
        <v>2.3</v>
      </c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</row>
    <row r="831" ht="19.5" customHeight="1">
      <c r="A831" s="15"/>
      <c r="B831" s="15">
        <v>2.0</v>
      </c>
      <c r="C831" s="15">
        <v>3.0</v>
      </c>
      <c r="D831" s="15">
        <v>1522.0</v>
      </c>
      <c r="E831" s="15">
        <v>9.0</v>
      </c>
      <c r="F831" s="15">
        <v>0.35</v>
      </c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</row>
    <row r="832" ht="19.5" customHeight="1">
      <c r="A832" s="15"/>
      <c r="B832" s="15">
        <v>2.0</v>
      </c>
      <c r="C832" s="15">
        <v>3.0</v>
      </c>
      <c r="D832" s="15">
        <v>1283.0</v>
      </c>
      <c r="E832" s="15">
        <v>7.0</v>
      </c>
      <c r="F832" s="15">
        <v>1.31</v>
      </c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</row>
    <row r="833" ht="19.5" customHeight="1">
      <c r="A833" s="15"/>
      <c r="B833" s="15">
        <v>2.0</v>
      </c>
      <c r="C833" s="15">
        <v>3.0</v>
      </c>
      <c r="D833" s="15">
        <v>1054.0</v>
      </c>
      <c r="E833" s="15">
        <v>18.0</v>
      </c>
      <c r="F833" s="15">
        <v>0.91</v>
      </c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</row>
    <row r="834" ht="19.5" customHeight="1">
      <c r="A834" s="15"/>
      <c r="B834" s="15">
        <v>2.0</v>
      </c>
      <c r="C834" s="15">
        <v>3.0</v>
      </c>
      <c r="D834" s="15">
        <v>771.0</v>
      </c>
      <c r="E834" s="15">
        <v>11.0</v>
      </c>
      <c r="F834" s="15">
        <v>1.9</v>
      </c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</row>
    <row r="835" ht="19.5" customHeight="1">
      <c r="A835" s="15"/>
      <c r="B835" s="15">
        <v>2.0</v>
      </c>
      <c r="C835" s="15">
        <v>3.0</v>
      </c>
      <c r="D835" s="15">
        <v>2214.0</v>
      </c>
      <c r="E835" s="15">
        <v>20.0</v>
      </c>
      <c r="F835" s="15">
        <v>0.57</v>
      </c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</row>
    <row r="836" ht="19.5" customHeight="1">
      <c r="A836" s="15"/>
      <c r="B836" s="15">
        <v>2.0</v>
      </c>
      <c r="C836" s="15">
        <v>3.0</v>
      </c>
      <c r="D836" s="15">
        <v>1068.0</v>
      </c>
      <c r="E836" s="15">
        <v>1.0</v>
      </c>
      <c r="F836" s="15">
        <v>0.93</v>
      </c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</row>
    <row r="837" ht="19.5" customHeight="1">
      <c r="A837" s="15"/>
      <c r="B837" s="15">
        <v>2.0</v>
      </c>
      <c r="C837" s="15">
        <v>3.0</v>
      </c>
      <c r="D837" s="15">
        <v>610.0</v>
      </c>
      <c r="E837" s="15">
        <v>18.0</v>
      </c>
      <c r="F837" s="15">
        <v>1.93</v>
      </c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</row>
    <row r="838" ht="19.5" customHeight="1">
      <c r="A838" s="15"/>
      <c r="B838" s="15">
        <v>2.0</v>
      </c>
      <c r="C838" s="15">
        <v>3.0</v>
      </c>
      <c r="D838" s="15">
        <v>1577.0</v>
      </c>
      <c r="E838" s="15">
        <v>16.0</v>
      </c>
      <c r="F838" s="15">
        <v>1.34</v>
      </c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</row>
    <row r="839" ht="19.5" customHeight="1">
      <c r="A839" s="15"/>
      <c r="B839" s="15">
        <v>2.0</v>
      </c>
      <c r="C839" s="15">
        <v>3.0</v>
      </c>
      <c r="D839" s="15">
        <v>1376.0</v>
      </c>
      <c r="E839" s="15">
        <v>16.0</v>
      </c>
      <c r="F839" s="15">
        <v>0.4</v>
      </c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</row>
    <row r="840" ht="19.5" customHeight="1">
      <c r="A840" s="15"/>
      <c r="B840" s="15">
        <v>2.0</v>
      </c>
      <c r="C840" s="15">
        <v>3.0</v>
      </c>
      <c r="D840" s="15">
        <v>1334.0</v>
      </c>
      <c r="E840" s="15">
        <v>9.0</v>
      </c>
      <c r="F840" s="15">
        <v>1.91</v>
      </c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</row>
    <row r="841" ht="19.5" customHeight="1">
      <c r="A841" s="15"/>
      <c r="B841" s="15">
        <v>2.0</v>
      </c>
      <c r="C841" s="15">
        <v>3.0</v>
      </c>
      <c r="D841" s="15">
        <v>585.0</v>
      </c>
      <c r="E841" s="15">
        <v>11.0</v>
      </c>
      <c r="F841" s="15">
        <v>0.0</v>
      </c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</row>
    <row r="842" ht="19.5" customHeight="1">
      <c r="A842" s="15"/>
      <c r="B842" s="15">
        <v>2.0</v>
      </c>
      <c r="C842" s="15">
        <v>3.0</v>
      </c>
      <c r="D842" s="15">
        <v>984.0</v>
      </c>
      <c r="E842" s="15">
        <v>5.0</v>
      </c>
      <c r="F842" s="15">
        <v>1.08</v>
      </c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</row>
    <row r="843" ht="19.5" customHeight="1">
      <c r="A843" s="15"/>
      <c r="B843" s="15">
        <v>2.0</v>
      </c>
      <c r="C843" s="15">
        <v>3.0</v>
      </c>
      <c r="D843" s="15">
        <v>972.0</v>
      </c>
      <c r="E843" s="15">
        <v>1.0</v>
      </c>
      <c r="F843" s="15">
        <v>1.81</v>
      </c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</row>
    <row r="844" ht="19.5" customHeight="1">
      <c r="A844" s="15"/>
      <c r="B844" s="15">
        <v>2.0</v>
      </c>
      <c r="C844" s="15">
        <v>3.0</v>
      </c>
      <c r="D844" s="15">
        <v>1643.0</v>
      </c>
      <c r="E844" s="15">
        <v>14.0</v>
      </c>
      <c r="F844" s="15">
        <v>1.54</v>
      </c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</row>
    <row r="845" ht="19.5" customHeight="1">
      <c r="A845" s="15"/>
      <c r="B845" s="15">
        <v>2.0</v>
      </c>
      <c r="C845" s="15">
        <v>3.0</v>
      </c>
      <c r="D845" s="15">
        <v>1183.0</v>
      </c>
      <c r="E845" s="15">
        <v>9.0</v>
      </c>
      <c r="F845" s="15">
        <v>0.8</v>
      </c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</row>
    <row r="846" ht="19.5" customHeight="1">
      <c r="A846" s="15"/>
      <c r="B846" s="15">
        <v>2.0</v>
      </c>
      <c r="C846" s="15">
        <v>3.0</v>
      </c>
      <c r="D846" s="15">
        <v>88.0</v>
      </c>
      <c r="E846" s="15">
        <v>6.0</v>
      </c>
      <c r="F846" s="15">
        <v>2.53</v>
      </c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</row>
    <row r="847" ht="19.5" customHeight="1">
      <c r="A847" s="15"/>
      <c r="B847" s="15">
        <v>2.0</v>
      </c>
      <c r="C847" s="15">
        <v>3.0</v>
      </c>
      <c r="D847" s="15">
        <v>1119.0</v>
      </c>
      <c r="E847" s="15">
        <v>21.0</v>
      </c>
      <c r="F847" s="15">
        <v>1.97</v>
      </c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</row>
    <row r="848" ht="19.5" customHeight="1">
      <c r="A848" s="15"/>
      <c r="B848" s="15">
        <v>2.0</v>
      </c>
      <c r="C848" s="15">
        <v>3.0</v>
      </c>
      <c r="D848" s="15">
        <v>1717.0</v>
      </c>
      <c r="E848" s="15">
        <v>11.0</v>
      </c>
      <c r="F848" s="15">
        <v>1.54</v>
      </c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</row>
    <row r="849" ht="19.5" customHeight="1">
      <c r="A849" s="15"/>
      <c r="B849" s="15">
        <v>2.0</v>
      </c>
      <c r="C849" s="15">
        <v>3.0</v>
      </c>
      <c r="D849" s="15">
        <v>1453.0</v>
      </c>
      <c r="E849" s="15">
        <v>14.0</v>
      </c>
      <c r="F849" s="15">
        <v>1.01</v>
      </c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</row>
    <row r="850" ht="19.5" customHeight="1">
      <c r="A850" s="15"/>
      <c r="B850" s="15">
        <v>2.0</v>
      </c>
      <c r="C850" s="15">
        <v>3.0</v>
      </c>
      <c r="D850" s="15">
        <v>1095.0</v>
      </c>
      <c r="E850" s="15">
        <v>10.0</v>
      </c>
      <c r="F850" s="15">
        <v>0.96</v>
      </c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</row>
    <row r="851" ht="19.5" customHeight="1">
      <c r="A851" s="15"/>
      <c r="B851" s="15">
        <v>2.0</v>
      </c>
      <c r="C851" s="15">
        <v>3.0</v>
      </c>
      <c r="D851" s="15">
        <v>1161.0</v>
      </c>
      <c r="E851" s="15">
        <v>8.0</v>
      </c>
      <c r="F851" s="15">
        <v>1.22</v>
      </c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</row>
    <row r="852" ht="19.5" customHeight="1">
      <c r="A852" s="15"/>
      <c r="B852" s="15">
        <v>2.0</v>
      </c>
      <c r="C852" s="15">
        <v>3.0</v>
      </c>
      <c r="D852" s="15">
        <v>1335.0</v>
      </c>
      <c r="E852" s="15">
        <v>7.0</v>
      </c>
      <c r="F852" s="15">
        <v>0.66</v>
      </c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</row>
    <row r="853" ht="19.5" customHeight="1">
      <c r="A853" s="15"/>
      <c r="B853" s="15">
        <v>2.0</v>
      </c>
      <c r="C853" s="15">
        <v>3.0</v>
      </c>
      <c r="D853" s="15">
        <v>1433.0</v>
      </c>
      <c r="E853" s="15">
        <v>18.0</v>
      </c>
      <c r="F853" s="15">
        <v>0.5</v>
      </c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</row>
    <row r="854" ht="19.5" customHeight="1">
      <c r="A854" s="15"/>
      <c r="B854" s="15">
        <v>2.0</v>
      </c>
      <c r="C854" s="15">
        <v>3.0</v>
      </c>
      <c r="D854" s="15">
        <v>1005.0</v>
      </c>
      <c r="E854" s="15">
        <v>19.0</v>
      </c>
      <c r="F854" s="15">
        <v>0.28</v>
      </c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</row>
    <row r="855" ht="19.5" customHeight="1">
      <c r="A855" s="15"/>
      <c r="B855" s="15">
        <v>2.0</v>
      </c>
      <c r="C855" s="15">
        <v>3.0</v>
      </c>
      <c r="D855" s="15">
        <v>1407.0</v>
      </c>
      <c r="E855" s="15">
        <v>19.0</v>
      </c>
      <c r="F855" s="15">
        <v>1.22</v>
      </c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</row>
    <row r="856" ht="19.5" customHeight="1">
      <c r="A856" s="15"/>
      <c r="B856" s="15">
        <v>2.0</v>
      </c>
      <c r="C856" s="15">
        <v>3.0</v>
      </c>
      <c r="D856" s="15">
        <v>1319.0</v>
      </c>
      <c r="E856" s="15">
        <v>15.0</v>
      </c>
      <c r="F856" s="15">
        <v>1.29</v>
      </c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</row>
    <row r="857" ht="19.5" customHeight="1">
      <c r="A857" s="15"/>
      <c r="B857" s="15">
        <v>2.0</v>
      </c>
      <c r="C857" s="15">
        <v>3.0</v>
      </c>
      <c r="D857" s="15">
        <v>1279.0</v>
      </c>
      <c r="E857" s="15">
        <v>16.0</v>
      </c>
      <c r="F857" s="15">
        <v>0.63</v>
      </c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</row>
    <row r="858" ht="19.5" customHeight="1">
      <c r="A858" s="15"/>
      <c r="B858" s="15">
        <v>2.0</v>
      </c>
      <c r="C858" s="15">
        <v>3.0</v>
      </c>
      <c r="D858" s="15">
        <v>1210.0</v>
      </c>
      <c r="E858" s="15">
        <v>14.0</v>
      </c>
      <c r="F858" s="15">
        <v>1.91</v>
      </c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</row>
    <row r="859" ht="19.5" customHeight="1">
      <c r="A859" s="15"/>
      <c r="B859" s="15">
        <v>2.0</v>
      </c>
      <c r="C859" s="15">
        <v>3.0</v>
      </c>
      <c r="D859" s="15">
        <v>1460.0</v>
      </c>
      <c r="E859" s="15">
        <v>1.0</v>
      </c>
      <c r="F859" s="15">
        <v>2.08</v>
      </c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</row>
    <row r="860" ht="19.5" customHeight="1">
      <c r="A860" s="15"/>
      <c r="B860" s="15">
        <v>2.0</v>
      </c>
      <c r="C860" s="15">
        <v>3.0</v>
      </c>
      <c r="D860" s="15">
        <v>1138.0</v>
      </c>
      <c r="E860" s="15">
        <v>16.0</v>
      </c>
      <c r="F860" s="15">
        <v>1.12</v>
      </c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</row>
    <row r="861" ht="19.5" customHeight="1">
      <c r="A861" s="15"/>
      <c r="B861" s="15">
        <v>2.0</v>
      </c>
      <c r="C861" s="15">
        <v>3.0</v>
      </c>
      <c r="D861" s="15">
        <v>1348.0</v>
      </c>
      <c r="E861" s="15">
        <v>4.0</v>
      </c>
      <c r="F861" s="15">
        <v>0.0</v>
      </c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</row>
    <row r="862" ht="19.5" customHeight="1">
      <c r="A862" s="15"/>
      <c r="B862" s="15">
        <v>2.0</v>
      </c>
      <c r="C862" s="15">
        <v>3.0</v>
      </c>
      <c r="D862" s="15">
        <v>1782.0</v>
      </c>
      <c r="E862" s="15">
        <v>13.0</v>
      </c>
      <c r="F862" s="15">
        <v>0.94</v>
      </c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</row>
    <row r="863" ht="19.5" customHeight="1">
      <c r="A863" s="15"/>
      <c r="B863" s="15">
        <v>2.0</v>
      </c>
      <c r="C863" s="15">
        <v>3.0</v>
      </c>
      <c r="D863" s="15">
        <v>1220.0</v>
      </c>
      <c r="E863" s="15">
        <v>8.0</v>
      </c>
      <c r="F863" s="15">
        <v>1.54</v>
      </c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</row>
    <row r="864" ht="19.5" customHeight="1">
      <c r="A864" s="15"/>
      <c r="B864" s="15">
        <v>2.0</v>
      </c>
      <c r="C864" s="15">
        <v>3.0</v>
      </c>
      <c r="D864" s="15">
        <v>1327.0</v>
      </c>
      <c r="E864" s="15">
        <v>9.0</v>
      </c>
      <c r="F864" s="15">
        <v>1.24</v>
      </c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</row>
    <row r="865" ht="19.5" customHeight="1">
      <c r="A865" s="15"/>
      <c r="B865" s="15">
        <v>2.0</v>
      </c>
      <c r="C865" s="15">
        <v>3.0</v>
      </c>
      <c r="D865" s="15">
        <v>791.0</v>
      </c>
      <c r="E865" s="15">
        <v>13.0</v>
      </c>
      <c r="F865" s="15">
        <v>1.68</v>
      </c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</row>
    <row r="866" ht="19.5" customHeight="1">
      <c r="A866" s="15"/>
      <c r="B866" s="15">
        <v>2.0</v>
      </c>
      <c r="C866" s="15">
        <v>3.0</v>
      </c>
      <c r="D866" s="15">
        <v>1493.0</v>
      </c>
      <c r="E866" s="15">
        <v>13.0</v>
      </c>
      <c r="F866" s="15">
        <v>0.63</v>
      </c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</row>
    <row r="867" ht="19.5" customHeight="1">
      <c r="A867" s="15"/>
      <c r="B867" s="15">
        <v>2.0</v>
      </c>
      <c r="C867" s="15">
        <v>3.0</v>
      </c>
      <c r="D867" s="15">
        <v>1498.0</v>
      </c>
      <c r="E867" s="15">
        <v>16.0</v>
      </c>
      <c r="F867" s="15">
        <v>0.96</v>
      </c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</row>
    <row r="868" ht="19.5" customHeight="1">
      <c r="A868" s="15"/>
      <c r="B868" s="15">
        <v>2.0</v>
      </c>
      <c r="C868" s="15">
        <v>3.0</v>
      </c>
      <c r="D868" s="15">
        <v>1121.0</v>
      </c>
      <c r="E868" s="15">
        <v>10.0</v>
      </c>
      <c r="F868" s="15">
        <v>1.28</v>
      </c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</row>
    <row r="869" ht="19.5" customHeight="1">
      <c r="A869" s="15"/>
      <c r="B869" s="15">
        <v>2.0</v>
      </c>
      <c r="C869" s="15">
        <v>3.0</v>
      </c>
      <c r="D869" s="15">
        <v>1253.0</v>
      </c>
      <c r="E869" s="15">
        <v>15.0</v>
      </c>
      <c r="F869" s="15">
        <v>1.53</v>
      </c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</row>
    <row r="870" ht="19.5" customHeight="1">
      <c r="A870" s="15"/>
      <c r="B870" s="15">
        <v>2.0</v>
      </c>
      <c r="C870" s="15">
        <v>3.0</v>
      </c>
      <c r="D870" s="15">
        <v>1738.0</v>
      </c>
      <c r="E870" s="15">
        <v>17.0</v>
      </c>
      <c r="F870" s="15">
        <v>1.86</v>
      </c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</row>
    <row r="871" ht="19.5" customHeight="1">
      <c r="A871" s="15"/>
      <c r="B871" s="15">
        <v>2.0</v>
      </c>
      <c r="C871" s="15">
        <v>3.0</v>
      </c>
      <c r="D871" s="15">
        <v>1409.0</v>
      </c>
      <c r="E871" s="15">
        <v>18.0</v>
      </c>
      <c r="F871" s="15">
        <v>0.97</v>
      </c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</row>
    <row r="872" ht="19.5" customHeight="1">
      <c r="A872" s="15"/>
      <c r="B872" s="15">
        <v>2.0</v>
      </c>
      <c r="C872" s="15">
        <v>3.0</v>
      </c>
      <c r="D872" s="15">
        <v>1018.0</v>
      </c>
      <c r="E872" s="15">
        <v>12.0</v>
      </c>
      <c r="F872" s="15">
        <v>1.4</v>
      </c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</row>
    <row r="873" ht="19.5" customHeight="1">
      <c r="A873" s="15"/>
      <c r="B873" s="15">
        <v>2.0</v>
      </c>
      <c r="C873" s="15">
        <v>3.0</v>
      </c>
      <c r="D873" s="15">
        <v>1663.0</v>
      </c>
      <c r="E873" s="15">
        <v>12.0</v>
      </c>
      <c r="F873" s="15">
        <v>0.38</v>
      </c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</row>
    <row r="874" ht="19.5" customHeight="1">
      <c r="A874" s="15"/>
      <c r="B874" s="15">
        <v>2.0</v>
      </c>
      <c r="C874" s="15">
        <v>3.0</v>
      </c>
      <c r="D874" s="15">
        <v>882.0</v>
      </c>
      <c r="E874" s="15">
        <v>10.0</v>
      </c>
      <c r="F874" s="15">
        <v>1.32</v>
      </c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</row>
    <row r="875" ht="19.5" customHeight="1">
      <c r="A875" s="15"/>
      <c r="B875" s="15">
        <v>2.0</v>
      </c>
      <c r="C875" s="15">
        <v>3.0</v>
      </c>
      <c r="D875" s="15">
        <v>1245.0</v>
      </c>
      <c r="E875" s="15">
        <v>13.0</v>
      </c>
      <c r="F875" s="15">
        <v>1.42</v>
      </c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</row>
    <row r="876" ht="19.5" customHeight="1">
      <c r="A876" s="15"/>
      <c r="B876" s="15">
        <v>2.0</v>
      </c>
      <c r="C876" s="15">
        <v>3.0</v>
      </c>
      <c r="D876" s="15">
        <v>723.0</v>
      </c>
      <c r="E876" s="15">
        <v>3.0</v>
      </c>
      <c r="F876" s="15">
        <v>2.84</v>
      </c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</row>
    <row r="877" ht="19.5" customHeight="1">
      <c r="A877" s="15"/>
      <c r="B877" s="15">
        <v>2.0</v>
      </c>
      <c r="C877" s="15">
        <v>3.0</v>
      </c>
      <c r="D877" s="15">
        <v>1423.0</v>
      </c>
      <c r="E877" s="15">
        <v>11.0</v>
      </c>
      <c r="F877" s="15">
        <v>1.0</v>
      </c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</row>
    <row r="878" ht="19.5" customHeight="1">
      <c r="A878" s="15"/>
      <c r="B878" s="15">
        <v>2.0</v>
      </c>
      <c r="C878" s="15">
        <v>3.0</v>
      </c>
      <c r="D878" s="15">
        <v>1334.0</v>
      </c>
      <c r="E878" s="15">
        <v>23.0</v>
      </c>
      <c r="F878" s="15">
        <v>0.46</v>
      </c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</row>
    <row r="879" ht="19.5" customHeight="1">
      <c r="A879" s="15"/>
      <c r="B879" s="15">
        <v>2.0</v>
      </c>
      <c r="C879" s="15">
        <v>3.0</v>
      </c>
      <c r="D879" s="15">
        <v>578.0</v>
      </c>
      <c r="E879" s="15">
        <v>20.0</v>
      </c>
      <c r="F879" s="15">
        <v>1.48</v>
      </c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</row>
    <row r="880" ht="19.5" customHeight="1">
      <c r="A880" s="15"/>
      <c r="B880" s="15">
        <v>2.0</v>
      </c>
      <c r="C880" s="15">
        <v>3.0</v>
      </c>
      <c r="D880" s="15">
        <v>778.0</v>
      </c>
      <c r="E880" s="15">
        <v>5.0</v>
      </c>
      <c r="F880" s="15">
        <v>1.88</v>
      </c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</row>
    <row r="881" ht="19.5" customHeight="1">
      <c r="A881" s="15"/>
      <c r="B881" s="15">
        <v>2.0</v>
      </c>
      <c r="C881" s="15">
        <v>3.0</v>
      </c>
      <c r="D881" s="15">
        <v>917.0</v>
      </c>
      <c r="E881" s="15">
        <v>13.0</v>
      </c>
      <c r="F881" s="15">
        <v>0.0</v>
      </c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</row>
    <row r="882" ht="19.5" customHeight="1">
      <c r="A882" s="15"/>
      <c r="B882" s="15">
        <v>2.0</v>
      </c>
      <c r="C882" s="15">
        <v>3.0</v>
      </c>
      <c r="D882" s="15">
        <v>852.0</v>
      </c>
      <c r="E882" s="15">
        <v>14.0</v>
      </c>
      <c r="F882" s="15">
        <v>1.44</v>
      </c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</row>
    <row r="883" ht="19.5" customHeight="1">
      <c r="A883" s="15"/>
      <c r="B883" s="15">
        <v>2.0</v>
      </c>
      <c r="C883" s="15">
        <v>3.0</v>
      </c>
      <c r="D883" s="15">
        <v>1142.0</v>
      </c>
      <c r="E883" s="15">
        <v>13.0</v>
      </c>
      <c r="F883" s="15">
        <v>1.92</v>
      </c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</row>
    <row r="884" ht="19.5" customHeight="1">
      <c r="A884" s="15"/>
      <c r="B884" s="15">
        <v>2.0</v>
      </c>
      <c r="C884" s="15">
        <v>3.0</v>
      </c>
      <c r="D884" s="15">
        <v>930.0</v>
      </c>
      <c r="E884" s="15">
        <v>16.0</v>
      </c>
      <c r="F884" s="15">
        <v>1.59</v>
      </c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</row>
    <row r="885" ht="19.5" customHeight="1">
      <c r="A885" s="15"/>
      <c r="B885" s="15">
        <v>2.0</v>
      </c>
      <c r="C885" s="15">
        <v>3.0</v>
      </c>
      <c r="D885" s="15">
        <v>1213.0</v>
      </c>
      <c r="E885" s="15">
        <v>9.0</v>
      </c>
      <c r="F885" s="15">
        <v>2.07</v>
      </c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</row>
    <row r="886" ht="19.5" customHeight="1">
      <c r="A886" s="15"/>
      <c r="B886" s="15">
        <v>2.0</v>
      </c>
      <c r="C886" s="15">
        <v>3.0</v>
      </c>
      <c r="D886" s="15">
        <v>1218.0</v>
      </c>
      <c r="E886" s="15">
        <v>11.0</v>
      </c>
      <c r="F886" s="15">
        <v>2.8</v>
      </c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</row>
    <row r="887" ht="19.5" customHeight="1">
      <c r="A887" s="15"/>
      <c r="B887" s="15">
        <v>2.0</v>
      </c>
      <c r="C887" s="15">
        <v>3.0</v>
      </c>
      <c r="D887" s="15">
        <v>1193.0</v>
      </c>
      <c r="E887" s="15">
        <v>7.0</v>
      </c>
      <c r="F887" s="15">
        <v>1.72</v>
      </c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</row>
    <row r="888" ht="19.5" customHeight="1">
      <c r="A888" s="15"/>
      <c r="B888" s="15">
        <v>2.0</v>
      </c>
      <c r="C888" s="15">
        <v>3.0</v>
      </c>
      <c r="D888" s="15">
        <v>1082.0</v>
      </c>
      <c r="E888" s="15">
        <v>16.0</v>
      </c>
      <c r="F888" s="15">
        <v>0.04</v>
      </c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</row>
    <row r="889" ht="19.5" customHeight="1">
      <c r="A889" s="15"/>
      <c r="B889" s="15">
        <v>2.0</v>
      </c>
      <c r="C889" s="15">
        <v>3.0</v>
      </c>
      <c r="D889" s="15">
        <v>1457.0</v>
      </c>
      <c r="E889" s="15">
        <v>13.0</v>
      </c>
      <c r="F889" s="15">
        <v>0.34</v>
      </c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</row>
    <row r="890" ht="19.5" customHeight="1">
      <c r="A890" s="15"/>
      <c r="B890" s="15">
        <v>2.0</v>
      </c>
      <c r="C890" s="15">
        <v>3.0</v>
      </c>
      <c r="D890" s="15">
        <v>1519.0</v>
      </c>
      <c r="E890" s="15">
        <v>12.0</v>
      </c>
      <c r="F890" s="15">
        <v>1.51</v>
      </c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</row>
    <row r="891" ht="19.5" customHeight="1">
      <c r="A891" s="15"/>
      <c r="B891" s="15">
        <v>2.0</v>
      </c>
      <c r="C891" s="15">
        <v>3.0</v>
      </c>
      <c r="D891" s="15">
        <v>344.0</v>
      </c>
      <c r="E891" s="15">
        <v>14.0</v>
      </c>
      <c r="F891" s="15">
        <v>1.69</v>
      </c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</row>
    <row r="892" ht="19.5" customHeight="1">
      <c r="A892" s="15"/>
      <c r="B892" s="15">
        <v>2.0</v>
      </c>
      <c r="C892" s="15">
        <v>3.0</v>
      </c>
      <c r="D892" s="15">
        <v>1292.0</v>
      </c>
      <c r="E892" s="15">
        <v>11.0</v>
      </c>
      <c r="F892" s="15">
        <v>0.47</v>
      </c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</row>
    <row r="893" ht="19.5" customHeight="1">
      <c r="A893" s="15"/>
      <c r="B893" s="15">
        <v>2.0</v>
      </c>
      <c r="C893" s="15">
        <v>3.0</v>
      </c>
      <c r="D893" s="15">
        <v>1589.0</v>
      </c>
      <c r="E893" s="15">
        <v>9.0</v>
      </c>
      <c r="F893" s="15">
        <v>0.98</v>
      </c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</row>
    <row r="894" ht="19.5" customHeight="1">
      <c r="A894" s="15"/>
      <c r="B894" s="15">
        <v>2.0</v>
      </c>
      <c r="C894" s="15">
        <v>3.0</v>
      </c>
      <c r="D894" s="15">
        <v>1510.0</v>
      </c>
      <c r="E894" s="15">
        <v>7.0</v>
      </c>
      <c r="F894" s="15">
        <v>1.13</v>
      </c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</row>
    <row r="895" ht="19.5" customHeight="1">
      <c r="A895" s="15"/>
      <c r="B895" s="15">
        <v>2.0</v>
      </c>
      <c r="C895" s="15">
        <v>3.0</v>
      </c>
      <c r="D895" s="15">
        <v>872.0</v>
      </c>
      <c r="E895" s="15">
        <v>12.0</v>
      </c>
      <c r="F895" s="15">
        <v>1.58</v>
      </c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</row>
    <row r="896" ht="19.5" customHeight="1">
      <c r="A896" s="15"/>
      <c r="B896" s="15">
        <v>2.0</v>
      </c>
      <c r="C896" s="15">
        <v>3.0</v>
      </c>
      <c r="D896" s="15">
        <v>954.0</v>
      </c>
      <c r="E896" s="15">
        <v>17.0</v>
      </c>
      <c r="F896" s="15">
        <v>2.44</v>
      </c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</row>
    <row r="897" ht="19.5" customHeight="1">
      <c r="A897" s="15"/>
      <c r="B897" s="15">
        <v>2.0</v>
      </c>
      <c r="C897" s="15">
        <v>3.0</v>
      </c>
      <c r="D897" s="15">
        <v>1075.0</v>
      </c>
      <c r="E897" s="15">
        <v>12.0</v>
      </c>
      <c r="F897" s="15">
        <v>1.06</v>
      </c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</row>
    <row r="898" ht="19.5" customHeight="1">
      <c r="A898" s="15"/>
      <c r="B898" s="15">
        <v>2.0</v>
      </c>
      <c r="C898" s="15">
        <v>3.0</v>
      </c>
      <c r="D898" s="15">
        <v>800.0</v>
      </c>
      <c r="E898" s="15">
        <v>14.0</v>
      </c>
      <c r="F898" s="15">
        <v>0.13</v>
      </c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</row>
    <row r="899" ht="19.5" customHeight="1">
      <c r="A899" s="15"/>
      <c r="B899" s="15">
        <v>2.0</v>
      </c>
      <c r="C899" s="15">
        <v>3.0</v>
      </c>
      <c r="D899" s="15">
        <v>335.0</v>
      </c>
      <c r="E899" s="15">
        <v>18.0</v>
      </c>
      <c r="F899" s="15">
        <v>2.09</v>
      </c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</row>
    <row r="900" ht="19.5" customHeight="1">
      <c r="A900" s="15"/>
      <c r="B900" s="15">
        <v>2.0</v>
      </c>
      <c r="C900" s="15">
        <v>3.0</v>
      </c>
      <c r="D900" s="15">
        <v>1483.0</v>
      </c>
      <c r="E900" s="15">
        <v>16.0</v>
      </c>
      <c r="F900" s="15">
        <v>0.43</v>
      </c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</row>
    <row r="901" ht="19.5" customHeight="1">
      <c r="A901" s="15"/>
      <c r="B901" s="15">
        <v>2.0</v>
      </c>
      <c r="C901" s="15">
        <v>3.0</v>
      </c>
      <c r="D901" s="15">
        <v>773.0</v>
      </c>
      <c r="E901" s="15">
        <v>6.0</v>
      </c>
      <c r="F901" s="15">
        <v>1.42</v>
      </c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</row>
    <row r="902" ht="19.5" customHeight="1">
      <c r="A902" s="15"/>
      <c r="B902" s="15">
        <v>2.0</v>
      </c>
      <c r="C902" s="15">
        <v>3.0</v>
      </c>
      <c r="D902" s="15">
        <v>951.0</v>
      </c>
      <c r="E902" s="15">
        <v>15.0</v>
      </c>
      <c r="F902" s="15">
        <v>1.15</v>
      </c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</row>
    <row r="903" ht="19.5" customHeight="1">
      <c r="A903" s="15"/>
      <c r="B903" s="15">
        <v>2.0</v>
      </c>
      <c r="C903" s="15">
        <v>3.0</v>
      </c>
      <c r="D903" s="15">
        <v>1165.0</v>
      </c>
      <c r="E903" s="15">
        <v>17.0</v>
      </c>
      <c r="F903" s="15">
        <v>2.17</v>
      </c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</row>
    <row r="904" ht="19.5" customHeight="1">
      <c r="A904" s="15"/>
      <c r="B904" s="15">
        <v>2.0</v>
      </c>
      <c r="C904" s="15">
        <v>3.0</v>
      </c>
      <c r="D904" s="15">
        <v>595.0</v>
      </c>
      <c r="E904" s="15">
        <v>15.0</v>
      </c>
      <c r="F904" s="15">
        <v>2.85</v>
      </c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</row>
    <row r="905" ht="19.5" customHeight="1">
      <c r="A905" s="15"/>
      <c r="B905" s="15">
        <v>2.0</v>
      </c>
      <c r="C905" s="15">
        <v>3.0</v>
      </c>
      <c r="D905" s="15">
        <v>978.0</v>
      </c>
      <c r="E905" s="15">
        <v>13.0</v>
      </c>
      <c r="F905" s="15">
        <v>1.11</v>
      </c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</row>
    <row r="906" ht="19.5" customHeight="1">
      <c r="A906" s="15"/>
      <c r="B906" s="15">
        <v>2.0</v>
      </c>
      <c r="C906" s="15">
        <v>3.0</v>
      </c>
      <c r="D906" s="15">
        <v>1052.0</v>
      </c>
      <c r="E906" s="15">
        <v>12.0</v>
      </c>
      <c r="F906" s="15">
        <v>1.51</v>
      </c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</row>
    <row r="907" ht="19.5" customHeight="1">
      <c r="A907" s="15"/>
      <c r="B907" s="15">
        <v>2.0</v>
      </c>
      <c r="C907" s="15">
        <v>3.0</v>
      </c>
      <c r="D907" s="15">
        <v>1263.0</v>
      </c>
      <c r="E907" s="15">
        <v>8.0</v>
      </c>
      <c r="F907" s="15">
        <v>0.69</v>
      </c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</row>
    <row r="908" ht="19.5" customHeight="1">
      <c r="A908" s="15"/>
      <c r="B908" s="15">
        <v>2.0</v>
      </c>
      <c r="C908" s="15">
        <v>3.0</v>
      </c>
      <c r="D908" s="15">
        <v>1216.0</v>
      </c>
      <c r="E908" s="15">
        <v>6.0</v>
      </c>
      <c r="F908" s="15">
        <v>1.04</v>
      </c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</row>
    <row r="909" ht="19.5" customHeight="1">
      <c r="A909" s="15"/>
      <c r="B909" s="15">
        <v>2.0</v>
      </c>
      <c r="C909" s="15">
        <v>3.0</v>
      </c>
      <c r="D909" s="15">
        <v>1027.0</v>
      </c>
      <c r="E909" s="15">
        <v>14.0</v>
      </c>
      <c r="F909" s="15">
        <v>1.38</v>
      </c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</row>
    <row r="910" ht="19.5" customHeight="1">
      <c r="A910" s="15"/>
      <c r="B910" s="15">
        <v>2.0</v>
      </c>
      <c r="C910" s="15">
        <v>3.0</v>
      </c>
      <c r="D910" s="15">
        <v>1249.0</v>
      </c>
      <c r="E910" s="15">
        <v>15.0</v>
      </c>
      <c r="F910" s="15">
        <v>1.27</v>
      </c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</row>
    <row r="911" ht="19.5" customHeight="1">
      <c r="A911" s="15"/>
      <c r="B911" s="15">
        <v>2.0</v>
      </c>
      <c r="C911" s="15">
        <v>3.0</v>
      </c>
      <c r="D911" s="15">
        <v>689.0</v>
      </c>
      <c r="E911" s="15">
        <v>18.0</v>
      </c>
      <c r="F911" s="15">
        <v>1.48</v>
      </c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</row>
    <row r="912" ht="19.5" customHeight="1">
      <c r="A912" s="15"/>
      <c r="B912" s="15">
        <v>2.0</v>
      </c>
      <c r="C912" s="15">
        <v>3.0</v>
      </c>
      <c r="D912" s="15">
        <v>1579.0</v>
      </c>
      <c r="E912" s="15">
        <v>6.0</v>
      </c>
      <c r="F912" s="15">
        <v>1.64</v>
      </c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</row>
    <row r="913" ht="19.5" customHeight="1">
      <c r="A913" s="15"/>
      <c r="B913" s="15">
        <v>2.0</v>
      </c>
      <c r="C913" s="15">
        <v>3.0</v>
      </c>
      <c r="D913" s="15">
        <v>283.0</v>
      </c>
      <c r="E913" s="15">
        <v>4.0</v>
      </c>
      <c r="F913" s="15">
        <v>2.43</v>
      </c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</row>
    <row r="914" ht="19.5" customHeight="1">
      <c r="A914" s="15"/>
      <c r="B914" s="15">
        <v>2.0</v>
      </c>
      <c r="C914" s="15">
        <v>3.0</v>
      </c>
      <c r="D914" s="15">
        <v>1001.0</v>
      </c>
      <c r="E914" s="15">
        <v>9.0</v>
      </c>
      <c r="F914" s="15">
        <v>1.8</v>
      </c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</row>
    <row r="915" ht="19.5" customHeight="1">
      <c r="A915" s="15"/>
      <c r="B915" s="15">
        <v>2.0</v>
      </c>
      <c r="C915" s="15">
        <v>3.0</v>
      </c>
      <c r="D915" s="15">
        <v>774.0</v>
      </c>
      <c r="E915" s="15">
        <v>10.0</v>
      </c>
      <c r="F915" s="15">
        <v>0.7</v>
      </c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</row>
    <row r="916" ht="19.5" customHeight="1">
      <c r="A916" s="15"/>
      <c r="B916" s="15">
        <v>2.0</v>
      </c>
      <c r="C916" s="15">
        <v>3.0</v>
      </c>
      <c r="D916" s="15">
        <v>785.0</v>
      </c>
      <c r="E916" s="15">
        <v>11.0</v>
      </c>
      <c r="F916" s="15">
        <v>0.42</v>
      </c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</row>
    <row r="917" ht="19.5" customHeight="1">
      <c r="A917" s="15"/>
      <c r="B917" s="15">
        <v>2.0</v>
      </c>
      <c r="C917" s="15">
        <v>3.0</v>
      </c>
      <c r="D917" s="15">
        <v>1220.0</v>
      </c>
      <c r="E917" s="15">
        <v>6.0</v>
      </c>
      <c r="F917" s="15">
        <v>1.51</v>
      </c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</row>
    <row r="918" ht="19.5" customHeight="1">
      <c r="A918" s="15"/>
      <c r="B918" s="15">
        <v>2.0</v>
      </c>
      <c r="C918" s="15">
        <v>3.0</v>
      </c>
      <c r="D918" s="15">
        <v>864.0</v>
      </c>
      <c r="E918" s="15">
        <v>12.0</v>
      </c>
      <c r="F918" s="15">
        <v>2.45</v>
      </c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</row>
    <row r="919" ht="19.5" customHeight="1">
      <c r="A919" s="15"/>
      <c r="B919" s="15">
        <v>2.0</v>
      </c>
      <c r="C919" s="15">
        <v>3.0</v>
      </c>
      <c r="D919" s="15">
        <v>1304.0</v>
      </c>
      <c r="E919" s="15">
        <v>8.0</v>
      </c>
      <c r="F919" s="15">
        <v>1.0</v>
      </c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</row>
    <row r="920" ht="19.5" customHeight="1">
      <c r="A920" s="15"/>
      <c r="B920" s="15">
        <v>2.0</v>
      </c>
      <c r="C920" s="15">
        <v>3.0</v>
      </c>
      <c r="D920" s="15">
        <v>1475.0</v>
      </c>
      <c r="E920" s="15">
        <v>12.0</v>
      </c>
      <c r="F920" s="15">
        <v>1.61</v>
      </c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</row>
    <row r="921" ht="19.5" customHeight="1">
      <c r="A921" s="15"/>
      <c r="B921" s="15">
        <v>2.0</v>
      </c>
      <c r="C921" s="15">
        <v>3.0</v>
      </c>
      <c r="D921" s="15">
        <v>771.0</v>
      </c>
      <c r="E921" s="15">
        <v>1.0</v>
      </c>
      <c r="F921" s="15">
        <v>1.9</v>
      </c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</row>
    <row r="922" ht="19.5" customHeight="1">
      <c r="A922" s="15"/>
      <c r="B922" s="15">
        <v>2.0</v>
      </c>
      <c r="C922" s="15">
        <v>3.0</v>
      </c>
      <c r="D922" s="15">
        <v>1149.0</v>
      </c>
      <c r="E922" s="15">
        <v>18.0</v>
      </c>
      <c r="F922" s="15">
        <v>1.14</v>
      </c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</row>
    <row r="923" ht="19.5" customHeight="1">
      <c r="A923" s="15"/>
      <c r="B923" s="15">
        <v>2.0</v>
      </c>
      <c r="C923" s="15">
        <v>3.0</v>
      </c>
      <c r="D923" s="15">
        <v>698.0</v>
      </c>
      <c r="E923" s="15">
        <v>19.0</v>
      </c>
      <c r="F923" s="15">
        <v>1.66</v>
      </c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</row>
    <row r="924" ht="19.5" customHeight="1">
      <c r="A924" s="15"/>
      <c r="B924" s="15">
        <v>2.0</v>
      </c>
      <c r="C924" s="15">
        <v>3.0</v>
      </c>
      <c r="D924" s="15">
        <v>1482.0</v>
      </c>
      <c r="E924" s="15">
        <v>20.0</v>
      </c>
      <c r="F924" s="15">
        <v>1.62</v>
      </c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</row>
    <row r="925" ht="19.5" customHeight="1">
      <c r="A925" s="15"/>
      <c r="B925" s="15">
        <v>2.0</v>
      </c>
      <c r="C925" s="15">
        <v>3.0</v>
      </c>
      <c r="D925" s="15">
        <v>1608.0</v>
      </c>
      <c r="E925" s="15">
        <v>11.0</v>
      </c>
      <c r="F925" s="15">
        <v>2.64</v>
      </c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</row>
    <row r="926" ht="19.5" customHeight="1">
      <c r="A926" s="15"/>
      <c r="B926" s="15">
        <v>2.0</v>
      </c>
      <c r="C926" s="15">
        <v>3.0</v>
      </c>
      <c r="D926" s="15">
        <v>1336.0</v>
      </c>
      <c r="E926" s="15">
        <v>11.0</v>
      </c>
      <c r="F926" s="15">
        <v>0.92</v>
      </c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</row>
    <row r="927" ht="19.5" customHeight="1">
      <c r="A927" s="15"/>
      <c r="B927" s="15">
        <v>2.0</v>
      </c>
      <c r="C927" s="15">
        <v>3.0</v>
      </c>
      <c r="D927" s="15">
        <v>1831.0</v>
      </c>
      <c r="E927" s="15">
        <v>22.0</v>
      </c>
      <c r="F927" s="15">
        <v>0.18</v>
      </c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</row>
    <row r="928" ht="19.5" customHeight="1">
      <c r="A928" s="15"/>
      <c r="B928" s="15">
        <v>2.0</v>
      </c>
      <c r="C928" s="15">
        <v>3.0</v>
      </c>
      <c r="D928" s="15">
        <v>1737.0</v>
      </c>
      <c r="E928" s="15">
        <v>21.0</v>
      </c>
      <c r="F928" s="15">
        <v>0.1</v>
      </c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</row>
    <row r="929" ht="19.5" customHeight="1">
      <c r="A929" s="15"/>
      <c r="B929" s="15">
        <v>2.0</v>
      </c>
      <c r="C929" s="15">
        <v>3.0</v>
      </c>
      <c r="D929" s="15">
        <v>1357.0</v>
      </c>
      <c r="E929" s="15">
        <v>15.0</v>
      </c>
      <c r="F929" s="15">
        <v>1.73</v>
      </c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</row>
    <row r="930" ht="19.5" customHeight="1">
      <c r="A930" s="15"/>
      <c r="B930" s="15">
        <v>2.0</v>
      </c>
      <c r="C930" s="15">
        <v>3.0</v>
      </c>
      <c r="D930" s="15">
        <v>1570.0</v>
      </c>
      <c r="E930" s="15">
        <v>6.0</v>
      </c>
      <c r="F930" s="15">
        <v>1.98</v>
      </c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</row>
    <row r="931" ht="19.5" customHeight="1">
      <c r="A931" s="15"/>
      <c r="B931" s="15">
        <v>2.0</v>
      </c>
      <c r="C931" s="15">
        <v>3.0</v>
      </c>
      <c r="D931" s="15">
        <v>1275.0</v>
      </c>
      <c r="E931" s="15">
        <v>11.0</v>
      </c>
      <c r="F931" s="15">
        <v>1.17</v>
      </c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</row>
    <row r="932" ht="19.5" customHeight="1">
      <c r="A932" s="15"/>
      <c r="B932" s="15">
        <v>2.0</v>
      </c>
      <c r="C932" s="15">
        <v>3.0</v>
      </c>
      <c r="D932" s="15">
        <v>1348.0</v>
      </c>
      <c r="E932" s="15">
        <v>14.0</v>
      </c>
      <c r="F932" s="15">
        <v>0.79</v>
      </c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</row>
    <row r="933" ht="19.5" customHeight="1">
      <c r="A933" s="15"/>
      <c r="B933" s="15">
        <v>2.0</v>
      </c>
      <c r="C933" s="15">
        <v>3.0</v>
      </c>
      <c r="D933" s="15">
        <v>1246.0</v>
      </c>
      <c r="E933" s="15">
        <v>8.0</v>
      </c>
      <c r="F933" s="15">
        <v>0.89</v>
      </c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</row>
    <row r="934" ht="19.5" customHeight="1">
      <c r="A934" s="15"/>
      <c r="B934" s="15">
        <v>2.0</v>
      </c>
      <c r="C934" s="15">
        <v>3.0</v>
      </c>
      <c r="D934" s="15">
        <v>786.0</v>
      </c>
      <c r="E934" s="15">
        <v>6.0</v>
      </c>
      <c r="F934" s="15">
        <v>1.98</v>
      </c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</row>
    <row r="935" ht="19.5" customHeight="1">
      <c r="A935" s="15"/>
      <c r="B935" s="15">
        <v>2.0</v>
      </c>
      <c r="C935" s="15">
        <v>3.0</v>
      </c>
      <c r="D935" s="15">
        <v>1174.0</v>
      </c>
      <c r="E935" s="15">
        <v>17.0</v>
      </c>
      <c r="F935" s="15">
        <v>1.49</v>
      </c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</row>
    <row r="936" ht="19.5" customHeight="1">
      <c r="A936" s="15"/>
      <c r="B936" s="15">
        <v>2.0</v>
      </c>
      <c r="C936" s="15">
        <v>3.0</v>
      </c>
      <c r="D936" s="15">
        <v>1793.0</v>
      </c>
      <c r="E936" s="15">
        <v>1.0</v>
      </c>
      <c r="F936" s="15">
        <v>0.0</v>
      </c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</row>
    <row r="937" ht="19.5" customHeight="1">
      <c r="A937" s="15"/>
      <c r="B937" s="15">
        <v>2.0</v>
      </c>
      <c r="C937" s="15">
        <v>3.0</v>
      </c>
      <c r="D937" s="15">
        <v>1169.0</v>
      </c>
      <c r="E937" s="15">
        <v>4.0</v>
      </c>
      <c r="F937" s="15">
        <v>1.84</v>
      </c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</row>
    <row r="938" ht="19.5" customHeight="1">
      <c r="A938" s="15"/>
      <c r="B938" s="15">
        <v>2.0</v>
      </c>
      <c r="C938" s="15">
        <v>3.0</v>
      </c>
      <c r="D938" s="15">
        <v>834.0</v>
      </c>
      <c r="E938" s="15">
        <v>23.0</v>
      </c>
      <c r="F938" s="15">
        <v>0.49</v>
      </c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</row>
    <row r="939" ht="19.5" customHeight="1">
      <c r="A939" s="15"/>
      <c r="B939" s="15">
        <v>2.0</v>
      </c>
      <c r="C939" s="15">
        <v>3.0</v>
      </c>
      <c r="D939" s="15">
        <v>1720.0</v>
      </c>
      <c r="E939" s="15">
        <v>13.0</v>
      </c>
      <c r="F939" s="15">
        <v>0.35</v>
      </c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</row>
    <row r="940" ht="19.5" customHeight="1">
      <c r="A940" s="15"/>
      <c r="B940" s="15">
        <v>2.0</v>
      </c>
      <c r="C940" s="15">
        <v>3.0</v>
      </c>
      <c r="D940" s="15">
        <v>581.0</v>
      </c>
      <c r="E940" s="15">
        <v>10.0</v>
      </c>
      <c r="F940" s="15">
        <v>2.27</v>
      </c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</row>
    <row r="941" ht="19.5" customHeight="1">
      <c r="A941" s="15"/>
      <c r="B941" s="15">
        <v>2.0</v>
      </c>
      <c r="C941" s="15">
        <v>3.0</v>
      </c>
      <c r="D941" s="15">
        <v>888.0</v>
      </c>
      <c r="E941" s="15">
        <v>9.0</v>
      </c>
      <c r="F941" s="15">
        <v>0.15</v>
      </c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</row>
    <row r="942" ht="19.5" customHeight="1">
      <c r="A942" s="15"/>
      <c r="B942" s="15">
        <v>2.0</v>
      </c>
      <c r="C942" s="15">
        <v>3.0</v>
      </c>
      <c r="D942" s="15">
        <v>1303.0</v>
      </c>
      <c r="E942" s="15">
        <v>17.0</v>
      </c>
      <c r="F942" s="15">
        <v>1.31</v>
      </c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</row>
    <row r="943" ht="19.5" customHeight="1">
      <c r="A943" s="15"/>
      <c r="B943" s="15">
        <v>2.0</v>
      </c>
      <c r="C943" s="15">
        <v>3.0</v>
      </c>
      <c r="D943" s="15">
        <v>835.0</v>
      </c>
      <c r="E943" s="15">
        <v>11.0</v>
      </c>
      <c r="F943" s="15">
        <v>1.2</v>
      </c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</row>
    <row r="944" ht="19.5" customHeight="1">
      <c r="A944" s="15"/>
      <c r="B944" s="15">
        <v>2.0</v>
      </c>
      <c r="C944" s="15">
        <v>3.0</v>
      </c>
      <c r="D944" s="15">
        <v>1597.0</v>
      </c>
      <c r="E944" s="15">
        <v>14.0</v>
      </c>
      <c r="F944" s="15">
        <v>1.2</v>
      </c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</row>
    <row r="945" ht="19.5" customHeight="1">
      <c r="A945" s="15"/>
      <c r="B945" s="15">
        <v>2.0</v>
      </c>
      <c r="C945" s="15">
        <v>3.0</v>
      </c>
      <c r="D945" s="15">
        <v>789.0</v>
      </c>
      <c r="E945" s="15">
        <v>13.0</v>
      </c>
      <c r="F945" s="15">
        <v>0.79</v>
      </c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</row>
    <row r="946" ht="19.5" customHeight="1">
      <c r="A946" s="15"/>
      <c r="B946" s="15">
        <v>2.0</v>
      </c>
      <c r="C946" s="15">
        <v>3.0</v>
      </c>
      <c r="D946" s="15">
        <v>1917.0</v>
      </c>
      <c r="E946" s="15">
        <v>12.0</v>
      </c>
      <c r="F946" s="15">
        <v>1.54</v>
      </c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</row>
    <row r="947" ht="19.5" customHeight="1">
      <c r="A947" s="15"/>
      <c r="B947" s="15">
        <v>2.0</v>
      </c>
      <c r="C947" s="15">
        <v>3.0</v>
      </c>
      <c r="D947" s="15">
        <v>1662.0</v>
      </c>
      <c r="E947" s="15">
        <v>14.0</v>
      </c>
      <c r="F947" s="15">
        <v>1.65</v>
      </c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</row>
    <row r="948" ht="19.5" customHeight="1">
      <c r="A948" s="15"/>
      <c r="B948" s="15">
        <v>2.0</v>
      </c>
      <c r="C948" s="15">
        <v>3.0</v>
      </c>
      <c r="D948" s="15">
        <v>2188.0</v>
      </c>
      <c r="E948" s="15">
        <v>24.0</v>
      </c>
      <c r="F948" s="15">
        <v>0.24</v>
      </c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</row>
    <row r="949" ht="19.5" customHeight="1">
      <c r="A949" s="15"/>
      <c r="B949" s="15">
        <v>2.0</v>
      </c>
      <c r="C949" s="15">
        <v>3.0</v>
      </c>
      <c r="D949" s="15">
        <v>1348.0</v>
      </c>
      <c r="E949" s="15">
        <v>26.0</v>
      </c>
      <c r="F949" s="15">
        <v>0.46</v>
      </c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</row>
    <row r="950" ht="19.5" customHeight="1">
      <c r="A950" s="15"/>
      <c r="B950" s="15">
        <v>2.0</v>
      </c>
      <c r="C950" s="15">
        <v>3.0</v>
      </c>
      <c r="D950" s="15">
        <v>1735.0</v>
      </c>
      <c r="E950" s="15">
        <v>15.0</v>
      </c>
      <c r="F950" s="15">
        <v>1.42</v>
      </c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</row>
    <row r="951" ht="19.5" customHeight="1">
      <c r="A951" s="15"/>
      <c r="B951" s="15">
        <v>2.0</v>
      </c>
      <c r="C951" s="15">
        <v>3.0</v>
      </c>
      <c r="D951" s="15">
        <v>700.0</v>
      </c>
      <c r="E951" s="15">
        <v>17.0</v>
      </c>
      <c r="F951" s="15">
        <v>0.95</v>
      </c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</row>
    <row r="952" ht="19.5" customHeight="1">
      <c r="A952" s="15"/>
      <c r="B952" s="15">
        <v>2.0</v>
      </c>
      <c r="C952" s="15">
        <v>3.0</v>
      </c>
      <c r="D952" s="15">
        <v>1195.0</v>
      </c>
      <c r="E952" s="15">
        <v>22.0</v>
      </c>
      <c r="F952" s="15">
        <v>2.22</v>
      </c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</row>
    <row r="953" ht="19.5" customHeight="1">
      <c r="A953" s="15"/>
      <c r="B953" s="15">
        <v>2.0</v>
      </c>
      <c r="C953" s="15">
        <v>3.0</v>
      </c>
      <c r="D953" s="15">
        <v>1681.0</v>
      </c>
      <c r="E953" s="15">
        <v>8.0</v>
      </c>
      <c r="F953" s="15">
        <v>1.68</v>
      </c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</row>
    <row r="954" ht="19.5" customHeight="1">
      <c r="A954" s="15"/>
      <c r="B954" s="15">
        <v>2.0</v>
      </c>
      <c r="C954" s="15">
        <v>3.0</v>
      </c>
      <c r="D954" s="15">
        <v>1475.0</v>
      </c>
      <c r="E954" s="15">
        <v>21.0</v>
      </c>
      <c r="F954" s="15">
        <v>1.16</v>
      </c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</row>
    <row r="955" ht="19.5" customHeight="1">
      <c r="A955" s="15"/>
      <c r="B955" s="15">
        <v>2.0</v>
      </c>
      <c r="C955" s="15">
        <v>3.0</v>
      </c>
      <c r="D955" s="15">
        <v>1474.0</v>
      </c>
      <c r="E955" s="15">
        <v>9.0</v>
      </c>
      <c r="F955" s="15">
        <v>0.0</v>
      </c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</row>
    <row r="956" ht="19.5" customHeight="1">
      <c r="A956" s="15"/>
      <c r="B956" s="15">
        <v>2.0</v>
      </c>
      <c r="C956" s="15">
        <v>3.0</v>
      </c>
      <c r="D956" s="15">
        <v>1385.0</v>
      </c>
      <c r="E956" s="15">
        <v>11.0</v>
      </c>
      <c r="F956" s="15">
        <v>2.14</v>
      </c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</row>
    <row r="957" ht="19.5" customHeight="1">
      <c r="A957" s="15"/>
      <c r="B957" s="15">
        <v>2.0</v>
      </c>
      <c r="C957" s="15">
        <v>3.0</v>
      </c>
      <c r="D957" s="15">
        <v>1876.0</v>
      </c>
      <c r="E957" s="15">
        <v>4.0</v>
      </c>
      <c r="F957" s="15">
        <v>1.24</v>
      </c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</row>
    <row r="958" ht="19.5" customHeight="1">
      <c r="A958" s="15"/>
      <c r="B958" s="15">
        <v>2.0</v>
      </c>
      <c r="C958" s="15">
        <v>3.0</v>
      </c>
      <c r="D958" s="15">
        <v>1212.0</v>
      </c>
      <c r="E958" s="15">
        <v>4.0</v>
      </c>
      <c r="F958" s="15">
        <v>1.28</v>
      </c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</row>
    <row r="959" ht="19.5" customHeight="1">
      <c r="A959" s="15"/>
      <c r="B959" s="15">
        <v>2.0</v>
      </c>
      <c r="C959" s="15">
        <v>3.0</v>
      </c>
      <c r="D959" s="15">
        <v>1028.0</v>
      </c>
      <c r="E959" s="15">
        <v>15.0</v>
      </c>
      <c r="F959" s="15">
        <v>1.82</v>
      </c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</row>
    <row r="960" ht="19.5" customHeight="1">
      <c r="A960" s="15"/>
      <c r="B960" s="15">
        <v>2.0</v>
      </c>
      <c r="C960" s="15">
        <v>3.0</v>
      </c>
      <c r="D960" s="15">
        <v>1163.0</v>
      </c>
      <c r="E960" s="15">
        <v>15.0</v>
      </c>
      <c r="F960" s="15">
        <v>0.24</v>
      </c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</row>
    <row r="961" ht="19.5" customHeight="1">
      <c r="A961" s="15"/>
      <c r="B961" s="15">
        <v>2.0</v>
      </c>
      <c r="C961" s="15">
        <v>3.0</v>
      </c>
      <c r="D961" s="15">
        <v>649.0</v>
      </c>
      <c r="E961" s="15">
        <v>14.0</v>
      </c>
      <c r="F961" s="15">
        <v>2.27</v>
      </c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</row>
    <row r="962" ht="19.5" customHeight="1">
      <c r="A962" s="15"/>
      <c r="B962" s="15">
        <v>2.0</v>
      </c>
      <c r="C962" s="15">
        <v>3.0</v>
      </c>
      <c r="D962" s="15">
        <v>1558.0</v>
      </c>
      <c r="E962" s="15">
        <v>16.0</v>
      </c>
      <c r="F962" s="15">
        <v>1.78</v>
      </c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</row>
    <row r="963" ht="19.5" customHeight="1">
      <c r="A963" s="15"/>
      <c r="B963" s="15">
        <v>2.0</v>
      </c>
      <c r="C963" s="15">
        <v>3.0</v>
      </c>
      <c r="D963" s="15">
        <v>1219.0</v>
      </c>
      <c r="E963" s="15">
        <v>4.0</v>
      </c>
      <c r="F963" s="15">
        <v>0.92</v>
      </c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</row>
    <row r="964" ht="19.5" customHeight="1">
      <c r="A964" s="15"/>
      <c r="B964" s="15">
        <v>2.0</v>
      </c>
      <c r="C964" s="15">
        <v>3.0</v>
      </c>
      <c r="D964" s="15">
        <v>1277.0</v>
      </c>
      <c r="E964" s="15">
        <v>15.0</v>
      </c>
      <c r="F964" s="15">
        <v>0.85</v>
      </c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</row>
    <row r="965" ht="19.5" customHeight="1">
      <c r="A965" s="15"/>
      <c r="B965" s="15">
        <v>2.0</v>
      </c>
      <c r="C965" s="15">
        <v>3.0</v>
      </c>
      <c r="D965" s="15">
        <v>1398.0</v>
      </c>
      <c r="E965" s="15">
        <v>13.0</v>
      </c>
      <c r="F965" s="15">
        <v>1.48</v>
      </c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</row>
    <row r="966" ht="19.5" customHeight="1">
      <c r="A966" s="15"/>
      <c r="B966" s="15">
        <v>2.0</v>
      </c>
      <c r="C966" s="15">
        <v>3.0</v>
      </c>
      <c r="D966" s="15">
        <v>1029.0</v>
      </c>
      <c r="E966" s="15">
        <v>9.0</v>
      </c>
      <c r="F966" s="15">
        <v>1.21</v>
      </c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</row>
    <row r="967" ht="19.5" customHeight="1">
      <c r="A967" s="15"/>
      <c r="B967" s="15">
        <v>2.0</v>
      </c>
      <c r="C967" s="15">
        <v>3.0</v>
      </c>
      <c r="D967" s="15">
        <v>919.0</v>
      </c>
      <c r="E967" s="15">
        <v>15.0</v>
      </c>
      <c r="F967" s="15">
        <v>1.31</v>
      </c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</row>
    <row r="968" ht="19.5" customHeight="1">
      <c r="A968" s="15"/>
      <c r="B968" s="15">
        <v>2.0</v>
      </c>
      <c r="C968" s="15">
        <v>3.0</v>
      </c>
      <c r="D968" s="15">
        <v>1844.0</v>
      </c>
      <c r="E968" s="15">
        <v>11.0</v>
      </c>
      <c r="F968" s="15">
        <v>0.62</v>
      </c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</row>
    <row r="969" ht="19.5" customHeight="1">
      <c r="A969" s="15"/>
      <c r="B969" s="15">
        <v>2.0</v>
      </c>
      <c r="C969" s="15">
        <v>3.0</v>
      </c>
      <c r="D969" s="15">
        <v>1220.0</v>
      </c>
      <c r="E969" s="15">
        <v>19.0</v>
      </c>
      <c r="F969" s="15">
        <v>1.89</v>
      </c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</row>
    <row r="970" ht="19.5" customHeight="1">
      <c r="A970" s="15"/>
      <c r="B970" s="15">
        <v>2.0</v>
      </c>
      <c r="C970" s="15">
        <v>3.0</v>
      </c>
      <c r="D970" s="15">
        <v>1538.0</v>
      </c>
      <c r="E970" s="15">
        <v>13.0</v>
      </c>
      <c r="F970" s="15">
        <v>2.44</v>
      </c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</row>
    <row r="971" ht="19.5" customHeight="1">
      <c r="A971" s="15"/>
      <c r="B971" s="15">
        <v>2.0</v>
      </c>
      <c r="C971" s="15">
        <v>3.0</v>
      </c>
      <c r="D971" s="15">
        <v>1181.0</v>
      </c>
      <c r="E971" s="15">
        <v>14.0</v>
      </c>
      <c r="F971" s="15">
        <v>1.16</v>
      </c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</row>
    <row r="972" ht="19.5" customHeight="1">
      <c r="A972" s="15"/>
      <c r="B972" s="15">
        <v>2.0</v>
      </c>
      <c r="C972" s="15">
        <v>3.0</v>
      </c>
      <c r="D972" s="15">
        <v>1098.0</v>
      </c>
      <c r="E972" s="15">
        <v>8.0</v>
      </c>
      <c r="F972" s="15">
        <v>1.29</v>
      </c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</row>
    <row r="973" ht="19.5" customHeight="1">
      <c r="A973" s="15"/>
      <c r="B973" s="15">
        <v>2.0</v>
      </c>
      <c r="C973" s="15">
        <v>3.0</v>
      </c>
      <c r="D973" s="15">
        <v>1169.0</v>
      </c>
      <c r="E973" s="15">
        <v>13.0</v>
      </c>
      <c r="F973" s="15">
        <v>0.75</v>
      </c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</row>
    <row r="974" ht="19.5" customHeight="1">
      <c r="A974" s="15"/>
      <c r="B974" s="15">
        <v>2.0</v>
      </c>
      <c r="C974" s="15">
        <v>3.0</v>
      </c>
      <c r="D974" s="15">
        <v>486.0</v>
      </c>
      <c r="E974" s="15">
        <v>17.0</v>
      </c>
      <c r="F974" s="15">
        <v>1.56</v>
      </c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</row>
    <row r="975" ht="19.5" customHeight="1">
      <c r="A975" s="15"/>
      <c r="B975" s="15">
        <v>2.0</v>
      </c>
      <c r="C975" s="15">
        <v>3.0</v>
      </c>
      <c r="D975" s="15">
        <v>1189.0</v>
      </c>
      <c r="E975" s="15">
        <v>14.0</v>
      </c>
      <c r="F975" s="15">
        <v>0.86</v>
      </c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</row>
    <row r="976" ht="19.5" customHeight="1">
      <c r="A976" s="15"/>
      <c r="B976" s="15">
        <v>2.0</v>
      </c>
      <c r="C976" s="15">
        <v>3.0</v>
      </c>
      <c r="D976" s="15">
        <v>1433.0</v>
      </c>
      <c r="E976" s="15">
        <v>11.0</v>
      </c>
      <c r="F976" s="15">
        <v>0.77</v>
      </c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</row>
    <row r="977" ht="19.5" customHeight="1">
      <c r="A977" s="15"/>
      <c r="B977" s="15">
        <v>2.0</v>
      </c>
      <c r="C977" s="15">
        <v>3.0</v>
      </c>
      <c r="D977" s="15">
        <v>1507.0</v>
      </c>
      <c r="E977" s="15">
        <v>16.0</v>
      </c>
      <c r="F977" s="15">
        <v>1.23</v>
      </c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</row>
    <row r="978" ht="19.5" customHeight="1">
      <c r="A978" s="15"/>
      <c r="B978" s="15">
        <v>2.0</v>
      </c>
      <c r="C978" s="15">
        <v>3.0</v>
      </c>
      <c r="D978" s="15">
        <v>1110.0</v>
      </c>
      <c r="E978" s="15">
        <v>19.0</v>
      </c>
      <c r="F978" s="15">
        <v>1.95</v>
      </c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</row>
    <row r="979" ht="19.5" customHeight="1">
      <c r="A979" s="15"/>
      <c r="B979" s="15">
        <v>2.0</v>
      </c>
      <c r="C979" s="15">
        <v>3.0</v>
      </c>
      <c r="D979" s="15">
        <v>1237.0</v>
      </c>
      <c r="E979" s="15">
        <v>8.0</v>
      </c>
      <c r="F979" s="15">
        <v>0.29</v>
      </c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</row>
    <row r="980" ht="19.5" customHeight="1">
      <c r="A980" s="15"/>
      <c r="B980" s="15">
        <v>2.0</v>
      </c>
      <c r="C980" s="15">
        <v>3.0</v>
      </c>
      <c r="D980" s="15">
        <v>1182.0</v>
      </c>
      <c r="E980" s="15">
        <v>21.0</v>
      </c>
      <c r="F980" s="15">
        <v>0.71</v>
      </c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</row>
    <row r="981" ht="19.5" customHeight="1">
      <c r="A981" s="15"/>
      <c r="B981" s="15">
        <v>2.0</v>
      </c>
      <c r="C981" s="15">
        <v>3.0</v>
      </c>
      <c r="D981" s="15">
        <v>1383.0</v>
      </c>
      <c r="E981" s="15">
        <v>9.0</v>
      </c>
      <c r="F981" s="15">
        <v>0.87</v>
      </c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</row>
    <row r="982" ht="19.5" customHeight="1">
      <c r="A982" s="15"/>
      <c r="B982" s="15">
        <v>2.0</v>
      </c>
      <c r="C982" s="15">
        <v>3.0</v>
      </c>
      <c r="D982" s="15">
        <v>1318.0</v>
      </c>
      <c r="E982" s="15">
        <v>5.0</v>
      </c>
      <c r="F982" s="15">
        <v>0.76</v>
      </c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</row>
    <row r="983" ht="19.5" customHeight="1">
      <c r="A983" s="15"/>
      <c r="B983" s="15">
        <v>2.0</v>
      </c>
      <c r="C983" s="15">
        <v>3.0</v>
      </c>
      <c r="D983" s="15">
        <v>1018.0</v>
      </c>
      <c r="E983" s="15">
        <v>15.0</v>
      </c>
      <c r="F983" s="15">
        <v>1.0</v>
      </c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</row>
    <row r="984" ht="19.5" customHeight="1">
      <c r="A984" s="15"/>
      <c r="B984" s="15">
        <v>2.0</v>
      </c>
      <c r="C984" s="15">
        <v>3.0</v>
      </c>
      <c r="D984" s="15">
        <v>814.0</v>
      </c>
      <c r="E984" s="15">
        <v>18.0</v>
      </c>
      <c r="F984" s="15">
        <v>0.91</v>
      </c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</row>
    <row r="985" ht="19.5" customHeight="1">
      <c r="A985" s="15"/>
      <c r="B985" s="15">
        <v>2.0</v>
      </c>
      <c r="C985" s="15">
        <v>3.0</v>
      </c>
      <c r="D985" s="15">
        <v>938.0</v>
      </c>
      <c r="E985" s="15">
        <v>9.0</v>
      </c>
      <c r="F985" s="15">
        <v>0.8</v>
      </c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</row>
    <row r="986" ht="19.5" customHeight="1">
      <c r="A986" s="15"/>
      <c r="B986" s="15">
        <v>2.0</v>
      </c>
      <c r="C986" s="15">
        <v>3.0</v>
      </c>
      <c r="D986" s="15">
        <v>1433.0</v>
      </c>
      <c r="E986" s="15">
        <v>13.0</v>
      </c>
      <c r="F986" s="15">
        <v>0.41</v>
      </c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</row>
    <row r="987" ht="19.5" customHeight="1">
      <c r="A987" s="15"/>
      <c r="B987" s="15">
        <v>2.0</v>
      </c>
      <c r="C987" s="15">
        <v>3.0</v>
      </c>
      <c r="D987" s="15">
        <v>1076.0</v>
      </c>
      <c r="E987" s="15">
        <v>13.0</v>
      </c>
      <c r="F987" s="15">
        <v>0.61</v>
      </c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</row>
    <row r="988" ht="19.5" customHeight="1">
      <c r="A988" s="15"/>
      <c r="B988" s="15">
        <v>2.0</v>
      </c>
      <c r="C988" s="15">
        <v>3.0</v>
      </c>
      <c r="D988" s="15">
        <v>1309.0</v>
      </c>
      <c r="E988" s="15">
        <v>20.0</v>
      </c>
      <c r="F988" s="15">
        <v>1.51</v>
      </c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</row>
    <row r="989" ht="19.5" customHeight="1">
      <c r="A989" s="15"/>
      <c r="B989" s="15">
        <v>2.0</v>
      </c>
      <c r="C989" s="15">
        <v>3.0</v>
      </c>
      <c r="D989" s="15">
        <v>1463.0</v>
      </c>
      <c r="E989" s="15">
        <v>20.0</v>
      </c>
      <c r="F989" s="15">
        <v>0.14</v>
      </c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</row>
    <row r="990" ht="19.5" customHeight="1">
      <c r="A990" s="15"/>
      <c r="B990" s="15">
        <v>2.0</v>
      </c>
      <c r="C990" s="15">
        <v>3.0</v>
      </c>
      <c r="D990" s="15">
        <v>1097.0</v>
      </c>
      <c r="E990" s="15">
        <v>15.0</v>
      </c>
      <c r="F990" s="15">
        <v>0.22</v>
      </c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</row>
    <row r="991" ht="19.5" customHeight="1">
      <c r="A991" s="15"/>
      <c r="B991" s="15">
        <v>2.0</v>
      </c>
      <c r="C991" s="15">
        <v>3.0</v>
      </c>
      <c r="D991" s="15">
        <v>1298.0</v>
      </c>
      <c r="E991" s="15">
        <v>16.0</v>
      </c>
      <c r="F991" s="15">
        <v>0.57</v>
      </c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</row>
    <row r="992" ht="19.5" customHeight="1">
      <c r="A992" s="15"/>
      <c r="B992" s="15">
        <v>2.0</v>
      </c>
      <c r="C992" s="15">
        <v>3.0</v>
      </c>
      <c r="D992" s="15">
        <v>1651.0</v>
      </c>
      <c r="E992" s="15">
        <v>9.0</v>
      </c>
      <c r="F992" s="15">
        <v>0.9</v>
      </c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</row>
    <row r="993" ht="19.5" customHeight="1">
      <c r="A993" s="15"/>
      <c r="B993" s="15">
        <v>2.0</v>
      </c>
      <c r="C993" s="15">
        <v>3.0</v>
      </c>
      <c r="D993" s="15">
        <v>1335.0</v>
      </c>
      <c r="E993" s="15">
        <v>6.0</v>
      </c>
      <c r="F993" s="15">
        <v>1.86</v>
      </c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</row>
    <row r="994" ht="19.5" customHeight="1">
      <c r="A994" s="15"/>
      <c r="B994" s="15">
        <v>2.0</v>
      </c>
      <c r="C994" s="15">
        <v>3.0</v>
      </c>
      <c r="D994" s="15">
        <v>2021.0</v>
      </c>
      <c r="E994" s="15">
        <v>9.0</v>
      </c>
      <c r="F994" s="15">
        <v>1.44</v>
      </c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</row>
    <row r="995" ht="19.5" customHeight="1">
      <c r="A995" s="15"/>
      <c r="B995" s="15">
        <v>2.0</v>
      </c>
      <c r="C995" s="15">
        <v>3.0</v>
      </c>
      <c r="D995" s="15">
        <v>1145.0</v>
      </c>
      <c r="E995" s="15">
        <v>12.0</v>
      </c>
      <c r="F995" s="15">
        <v>0.64</v>
      </c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</row>
    <row r="996" ht="19.5" customHeight="1">
      <c r="A996" s="15"/>
      <c r="B996" s="15">
        <v>2.0</v>
      </c>
      <c r="C996" s="15">
        <v>3.0</v>
      </c>
      <c r="D996" s="15">
        <v>1644.0</v>
      </c>
      <c r="E996" s="15">
        <v>15.0</v>
      </c>
      <c r="F996" s="15">
        <v>1.92</v>
      </c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</row>
    <row r="997" ht="19.5" customHeight="1">
      <c r="A997" s="15"/>
      <c r="B997" s="15">
        <v>2.0</v>
      </c>
      <c r="C997" s="15">
        <v>3.0</v>
      </c>
      <c r="D997" s="15">
        <v>1567.0</v>
      </c>
      <c r="E997" s="15">
        <v>14.0</v>
      </c>
      <c r="F997" s="15">
        <v>1.73</v>
      </c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</row>
    <row r="998" ht="19.5" customHeight="1">
      <c r="A998" s="15"/>
      <c r="B998" s="15">
        <v>2.0</v>
      </c>
      <c r="C998" s="15">
        <v>3.0</v>
      </c>
      <c r="D998" s="15">
        <v>1005.0</v>
      </c>
      <c r="E998" s="15">
        <v>8.0</v>
      </c>
      <c r="F998" s="15">
        <v>1.23</v>
      </c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</row>
    <row r="999" ht="19.5" customHeight="1">
      <c r="A999" s="15"/>
      <c r="B999" s="15">
        <v>2.0</v>
      </c>
      <c r="C999" s="15">
        <v>3.0</v>
      </c>
      <c r="D999" s="15">
        <v>1596.0</v>
      </c>
      <c r="E999" s="15">
        <v>14.0</v>
      </c>
      <c r="F999" s="15">
        <v>0.96</v>
      </c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</row>
    <row r="1000" ht="19.5" customHeight="1">
      <c r="A1000" s="15"/>
      <c r="B1000" s="15">
        <v>2.0</v>
      </c>
      <c r="C1000" s="15">
        <v>3.0</v>
      </c>
      <c r="D1000" s="15">
        <v>1573.0</v>
      </c>
      <c r="E1000" s="15">
        <v>17.0</v>
      </c>
      <c r="F1000" s="15">
        <v>1.47</v>
      </c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</row>
    <row r="1001" ht="19.5" customHeight="1">
      <c r="A1001" s="15"/>
      <c r="B1001" s="15">
        <v>2.0</v>
      </c>
      <c r="C1001" s="15">
        <v>3.0</v>
      </c>
      <c r="D1001" s="15">
        <v>1717.0</v>
      </c>
      <c r="E1001" s="15">
        <v>12.0</v>
      </c>
      <c r="F1001" s="15">
        <v>0.85</v>
      </c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</row>
    <row r="1002" ht="19.5" customHeight="1">
      <c r="A1002" s="15"/>
      <c r="B1002" s="15">
        <v>2.0</v>
      </c>
      <c r="C1002" s="15">
        <v>3.0</v>
      </c>
      <c r="D1002" s="15">
        <v>1237.0</v>
      </c>
      <c r="E1002" s="15">
        <v>19.0</v>
      </c>
      <c r="F1002" s="15">
        <v>0.9</v>
      </c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</row>
    <row r="1003" ht="19.5" customHeight="1">
      <c r="A1003" s="15"/>
      <c r="B1003" s="15">
        <v>2.0</v>
      </c>
      <c r="C1003" s="15">
        <v>3.0</v>
      </c>
      <c r="D1003" s="15">
        <v>1062.0</v>
      </c>
      <c r="E1003" s="15">
        <v>3.0</v>
      </c>
      <c r="F1003" s="15">
        <v>2.27</v>
      </c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</row>
    <row r="1004" ht="19.5" customHeight="1">
      <c r="A1004" s="15"/>
      <c r="B1004" s="15">
        <v>2.0</v>
      </c>
      <c r="C1004" s="15">
        <v>3.0</v>
      </c>
      <c r="D1004" s="15">
        <v>671.0</v>
      </c>
      <c r="E1004" s="15">
        <v>19.0</v>
      </c>
      <c r="F1004" s="15">
        <v>1.29</v>
      </c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</row>
    <row r="1005" ht="19.5" customHeight="1">
      <c r="A1005" s="15"/>
      <c r="B1005" s="15">
        <v>2.0</v>
      </c>
      <c r="C1005" s="15">
        <v>3.0</v>
      </c>
      <c r="D1005" s="15">
        <v>1286.0</v>
      </c>
      <c r="E1005" s="15">
        <v>11.0</v>
      </c>
      <c r="F1005" s="15">
        <v>0.27</v>
      </c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  <c r="AD1005" s="15"/>
      <c r="AE1005" s="15"/>
    </row>
    <row r="1006" ht="19.5" customHeight="1">
      <c r="A1006" s="15"/>
      <c r="B1006" s="15">
        <v>2.0</v>
      </c>
      <c r="C1006" s="15">
        <v>3.0</v>
      </c>
      <c r="D1006" s="15">
        <v>1023.0</v>
      </c>
      <c r="E1006" s="15">
        <v>22.0</v>
      </c>
      <c r="F1006" s="15">
        <v>0.9</v>
      </c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</row>
    <row r="1007" ht="19.5" customHeight="1">
      <c r="A1007" s="15"/>
      <c r="B1007" s="15">
        <v>2.0</v>
      </c>
      <c r="C1007" s="15">
        <v>3.0</v>
      </c>
      <c r="D1007" s="15">
        <v>1161.0</v>
      </c>
      <c r="E1007" s="15">
        <v>12.0</v>
      </c>
      <c r="F1007" s="15">
        <v>0.0</v>
      </c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  <c r="AD1007" s="15"/>
      <c r="AE1007" s="15"/>
    </row>
    <row r="1008" ht="19.5" customHeight="1">
      <c r="A1008" s="15"/>
      <c r="B1008" s="15">
        <v>2.0</v>
      </c>
      <c r="C1008" s="15">
        <v>3.0</v>
      </c>
      <c r="D1008" s="15">
        <v>1600.0</v>
      </c>
      <c r="E1008" s="15">
        <v>4.0</v>
      </c>
      <c r="F1008" s="15">
        <v>1.02</v>
      </c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  <c r="AD1008" s="15"/>
      <c r="AE1008" s="15"/>
    </row>
    <row r="1009" ht="19.5" customHeight="1">
      <c r="A1009" s="15"/>
      <c r="B1009" s="15">
        <v>2.0</v>
      </c>
      <c r="C1009" s="15">
        <v>3.0</v>
      </c>
      <c r="D1009" s="15">
        <v>257.0</v>
      </c>
      <c r="E1009" s="15">
        <v>14.0</v>
      </c>
      <c r="F1009" s="15">
        <v>0.47</v>
      </c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</row>
    <row r="1010" ht="19.5" customHeight="1">
      <c r="A1010" s="15"/>
      <c r="B1010" s="15">
        <v>2.0</v>
      </c>
      <c r="C1010" s="15">
        <v>3.0</v>
      </c>
      <c r="D1010" s="15">
        <v>1732.0</v>
      </c>
      <c r="E1010" s="15">
        <v>15.0</v>
      </c>
      <c r="F1010" s="15">
        <v>0.0</v>
      </c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</row>
    <row r="1011" ht="19.5" customHeight="1">
      <c r="A1011" s="15"/>
      <c r="B1011" s="15">
        <v>2.0</v>
      </c>
      <c r="C1011" s="15">
        <v>3.0</v>
      </c>
      <c r="D1011" s="15">
        <v>1154.0</v>
      </c>
      <c r="E1011" s="15">
        <v>14.0</v>
      </c>
      <c r="F1011" s="15">
        <v>2.18</v>
      </c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</row>
    <row r="1012" ht="19.5" customHeight="1">
      <c r="A1012" s="15"/>
      <c r="B1012" s="15">
        <v>2.0</v>
      </c>
      <c r="C1012" s="15">
        <v>3.0</v>
      </c>
      <c r="D1012" s="15">
        <v>1349.0</v>
      </c>
      <c r="E1012" s="15">
        <v>17.0</v>
      </c>
      <c r="F1012" s="15">
        <v>0.71</v>
      </c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</row>
    <row r="1013" ht="19.5" customHeight="1">
      <c r="A1013" s="15"/>
      <c r="B1013" s="15">
        <v>2.0</v>
      </c>
      <c r="C1013" s="15">
        <v>3.0</v>
      </c>
      <c r="D1013" s="15">
        <v>1364.0</v>
      </c>
      <c r="E1013" s="15">
        <v>9.0</v>
      </c>
      <c r="F1013" s="15">
        <v>1.94</v>
      </c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</row>
    <row r="1014" ht="19.5" customHeight="1">
      <c r="A1014" s="15"/>
      <c r="B1014" s="15">
        <v>2.0</v>
      </c>
      <c r="C1014" s="15">
        <v>3.0</v>
      </c>
      <c r="D1014" s="15">
        <v>589.0</v>
      </c>
      <c r="E1014" s="15">
        <v>17.0</v>
      </c>
      <c r="F1014" s="15">
        <v>0.96</v>
      </c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</row>
    <row r="1015" ht="19.5" customHeight="1">
      <c r="A1015" s="15"/>
      <c r="B1015" s="15">
        <v>2.0</v>
      </c>
      <c r="C1015" s="15">
        <v>3.0</v>
      </c>
      <c r="D1015" s="15">
        <v>1236.0</v>
      </c>
      <c r="E1015" s="15">
        <v>9.0</v>
      </c>
      <c r="F1015" s="15">
        <v>2.5</v>
      </c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</row>
    <row r="1016" ht="19.5" customHeight="1">
      <c r="A1016" s="15"/>
      <c r="B1016" s="15">
        <v>2.0</v>
      </c>
      <c r="C1016" s="15">
        <v>3.0</v>
      </c>
      <c r="D1016" s="15">
        <v>1366.0</v>
      </c>
      <c r="E1016" s="15">
        <v>5.0</v>
      </c>
      <c r="F1016" s="15">
        <v>0.87</v>
      </c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</row>
    <row r="1017" ht="19.5" customHeight="1">
      <c r="A1017" s="15"/>
      <c r="B1017" s="15">
        <v>2.0</v>
      </c>
      <c r="C1017" s="15">
        <v>3.0</v>
      </c>
      <c r="D1017" s="15">
        <v>1016.0</v>
      </c>
      <c r="E1017" s="15">
        <v>9.0</v>
      </c>
      <c r="F1017" s="15">
        <v>0.62</v>
      </c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</row>
    <row r="1018" ht="19.5" customHeight="1">
      <c r="A1018" s="15"/>
      <c r="B1018" s="15">
        <v>2.0</v>
      </c>
      <c r="C1018" s="15">
        <v>3.0</v>
      </c>
      <c r="D1018" s="15">
        <v>610.0</v>
      </c>
      <c r="E1018" s="15">
        <v>13.0</v>
      </c>
      <c r="F1018" s="15">
        <v>1.17</v>
      </c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  <c r="AD1018" s="15"/>
      <c r="AE1018" s="15"/>
    </row>
    <row r="1019" ht="19.5" customHeight="1">
      <c r="A1019" s="15"/>
      <c r="B1019" s="15">
        <v>2.0</v>
      </c>
      <c r="C1019" s="15">
        <v>3.0</v>
      </c>
      <c r="D1019" s="15">
        <v>1266.0</v>
      </c>
      <c r="E1019" s="15">
        <v>5.0</v>
      </c>
      <c r="F1019" s="15">
        <v>2.09</v>
      </c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</row>
    <row r="1020" ht="19.5" customHeight="1">
      <c r="A1020" s="15"/>
      <c r="B1020" s="15">
        <v>2.0</v>
      </c>
      <c r="C1020" s="15">
        <v>3.0</v>
      </c>
      <c r="D1020" s="15">
        <v>1582.0</v>
      </c>
      <c r="E1020" s="15">
        <v>10.0</v>
      </c>
      <c r="F1020" s="15">
        <v>1.52</v>
      </c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  <c r="AD1020" s="15"/>
      <c r="AE1020" s="15"/>
    </row>
    <row r="1021" ht="19.5" customHeight="1">
      <c r="A1021" s="15"/>
      <c r="B1021" s="15">
        <v>2.0</v>
      </c>
      <c r="C1021" s="15">
        <v>3.0</v>
      </c>
      <c r="D1021" s="15">
        <v>1290.0</v>
      </c>
      <c r="E1021" s="15">
        <v>15.0</v>
      </c>
      <c r="F1021" s="15">
        <v>1.95</v>
      </c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</row>
    <row r="1022" ht="19.5" customHeight="1">
      <c r="A1022" s="15"/>
      <c r="B1022" s="15">
        <v>2.0</v>
      </c>
      <c r="C1022" s="15">
        <v>3.0</v>
      </c>
      <c r="D1022" s="15">
        <v>961.0</v>
      </c>
      <c r="E1022" s="15">
        <v>14.0</v>
      </c>
      <c r="F1022" s="15">
        <v>0.87</v>
      </c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</row>
    <row r="1023" ht="19.5" customHeight="1">
      <c r="A1023" s="15"/>
      <c r="B1023" s="15">
        <v>2.0</v>
      </c>
      <c r="C1023" s="15">
        <v>3.0</v>
      </c>
      <c r="D1023" s="15">
        <v>1852.0</v>
      </c>
      <c r="E1023" s="15">
        <v>14.0</v>
      </c>
      <c r="F1023" s="15">
        <v>0.29</v>
      </c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</row>
    <row r="1024" ht="19.5" customHeight="1">
      <c r="A1024" s="15"/>
      <c r="B1024" s="15">
        <v>2.0</v>
      </c>
      <c r="C1024" s="15">
        <v>3.0</v>
      </c>
      <c r="D1024" s="15">
        <v>1116.0</v>
      </c>
      <c r="E1024" s="15">
        <v>12.0</v>
      </c>
      <c r="F1024" s="15">
        <v>1.09</v>
      </c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</row>
    <row r="1025" ht="19.5" customHeight="1">
      <c r="A1025" s="15"/>
      <c r="B1025" s="15">
        <v>2.0</v>
      </c>
      <c r="C1025" s="15">
        <v>3.0</v>
      </c>
      <c r="D1025" s="15">
        <v>1562.0</v>
      </c>
      <c r="E1025" s="15">
        <v>18.0</v>
      </c>
      <c r="F1025" s="15">
        <v>1.05</v>
      </c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  <c r="AD1025" s="15"/>
      <c r="AE1025" s="15"/>
    </row>
    <row r="1026" ht="19.5" customHeight="1">
      <c r="A1026" s="15"/>
      <c r="B1026" s="15">
        <v>2.0</v>
      </c>
      <c r="C1026" s="15">
        <v>3.0</v>
      </c>
      <c r="D1026" s="15">
        <v>1579.0</v>
      </c>
      <c r="E1026" s="15">
        <v>4.0</v>
      </c>
      <c r="F1026" s="15">
        <v>1.29</v>
      </c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</row>
    <row r="1027" ht="19.5" customHeight="1">
      <c r="A1027" s="15"/>
      <c r="B1027" s="15">
        <v>2.0</v>
      </c>
      <c r="C1027" s="15">
        <v>3.0</v>
      </c>
      <c r="D1027" s="15">
        <v>2272.0</v>
      </c>
      <c r="E1027" s="15">
        <v>8.0</v>
      </c>
      <c r="F1027" s="15">
        <v>0.87</v>
      </c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</row>
    <row r="1028" ht="19.5" customHeight="1">
      <c r="A1028" s="15"/>
      <c r="B1028" s="15">
        <v>2.0</v>
      </c>
      <c r="C1028" s="15">
        <v>3.0</v>
      </c>
      <c r="D1028" s="15">
        <v>1091.0</v>
      </c>
      <c r="E1028" s="15">
        <v>12.0</v>
      </c>
      <c r="F1028" s="15">
        <v>0.49</v>
      </c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</row>
    <row r="1029" ht="19.5" customHeight="1">
      <c r="A1029" s="15"/>
      <c r="B1029" s="15">
        <v>2.0</v>
      </c>
      <c r="C1029" s="15">
        <v>3.0</v>
      </c>
      <c r="D1029" s="15">
        <v>350.0</v>
      </c>
      <c r="E1029" s="15">
        <v>8.0</v>
      </c>
      <c r="F1029" s="15">
        <v>1.66</v>
      </c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</row>
    <row r="1030" ht="19.5" customHeight="1">
      <c r="A1030" s="15"/>
      <c r="B1030" s="15">
        <v>2.0</v>
      </c>
      <c r="C1030" s="15">
        <v>3.0</v>
      </c>
      <c r="D1030" s="15">
        <v>1351.0</v>
      </c>
      <c r="E1030" s="15">
        <v>17.0</v>
      </c>
      <c r="F1030" s="15">
        <v>0.86</v>
      </c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</row>
    <row r="1031" ht="19.5" customHeight="1">
      <c r="A1031" s="15"/>
      <c r="B1031" s="15">
        <v>2.0</v>
      </c>
      <c r="C1031" s="15">
        <v>3.0</v>
      </c>
      <c r="D1031" s="15">
        <v>969.0</v>
      </c>
      <c r="E1031" s="15">
        <v>15.0</v>
      </c>
      <c r="F1031" s="15">
        <v>1.32</v>
      </c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</row>
    <row r="1032" ht="19.5" customHeight="1">
      <c r="A1032" s="15"/>
      <c r="B1032" s="15">
        <v>2.0</v>
      </c>
      <c r="C1032" s="15">
        <v>3.0</v>
      </c>
      <c r="D1032" s="15">
        <v>1291.0</v>
      </c>
      <c r="E1032" s="15">
        <v>6.0</v>
      </c>
      <c r="F1032" s="15">
        <v>0.14</v>
      </c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</row>
    <row r="1033" ht="19.5" customHeight="1">
      <c r="A1033" s="15"/>
      <c r="B1033" s="15">
        <v>2.0</v>
      </c>
      <c r="C1033" s="15">
        <v>3.0</v>
      </c>
      <c r="D1033" s="15">
        <v>1477.0</v>
      </c>
      <c r="E1033" s="15">
        <v>12.0</v>
      </c>
      <c r="F1033" s="15">
        <v>0.42</v>
      </c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  <c r="AD1033" s="15"/>
      <c r="AE1033" s="15"/>
    </row>
    <row r="1034" ht="19.5" customHeight="1">
      <c r="A1034" s="15"/>
      <c r="B1034" s="15">
        <v>2.0</v>
      </c>
      <c r="C1034" s="15">
        <v>3.0</v>
      </c>
      <c r="D1034" s="15">
        <v>733.0</v>
      </c>
      <c r="E1034" s="15">
        <v>17.0</v>
      </c>
      <c r="F1034" s="15">
        <v>1.76</v>
      </c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  <c r="AD1034" s="15"/>
      <c r="AE1034" s="15"/>
    </row>
    <row r="1035" ht="19.5" customHeight="1">
      <c r="A1035" s="15"/>
      <c r="B1035" s="15">
        <v>2.0</v>
      </c>
      <c r="C1035" s="15">
        <v>3.0</v>
      </c>
      <c r="D1035" s="15">
        <v>584.0</v>
      </c>
      <c r="E1035" s="15">
        <v>22.0</v>
      </c>
      <c r="F1035" s="15">
        <v>0.63</v>
      </c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</row>
    <row r="1036" ht="19.5" customHeight="1">
      <c r="A1036" s="15"/>
      <c r="B1036" s="15">
        <v>2.0</v>
      </c>
      <c r="C1036" s="15">
        <v>3.0</v>
      </c>
      <c r="D1036" s="15">
        <v>709.0</v>
      </c>
      <c r="E1036" s="15">
        <v>14.0</v>
      </c>
      <c r="F1036" s="15">
        <v>1.54</v>
      </c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  <c r="AD1036" s="15"/>
      <c r="AE1036" s="15"/>
    </row>
    <row r="1037" ht="19.5" customHeight="1">
      <c r="A1037" s="15"/>
      <c r="B1037" s="15">
        <v>2.0</v>
      </c>
      <c r="C1037" s="15">
        <v>3.0</v>
      </c>
      <c r="D1037" s="15">
        <v>894.0</v>
      </c>
      <c r="E1037" s="15">
        <v>6.0</v>
      </c>
      <c r="F1037" s="15">
        <v>1.72</v>
      </c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  <c r="AD1037" s="15"/>
      <c r="AE1037" s="15"/>
    </row>
    <row r="1038" ht="19.5" customHeight="1">
      <c r="A1038" s="15"/>
      <c r="B1038" s="15">
        <v>2.0</v>
      </c>
      <c r="C1038" s="15">
        <v>3.0</v>
      </c>
      <c r="D1038" s="15">
        <v>1082.0</v>
      </c>
      <c r="E1038" s="15">
        <v>10.0</v>
      </c>
      <c r="F1038" s="15">
        <v>1.36</v>
      </c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</row>
    <row r="1039" ht="19.5" customHeight="1">
      <c r="A1039" s="15"/>
      <c r="B1039" s="15">
        <v>2.0</v>
      </c>
      <c r="C1039" s="15">
        <v>3.0</v>
      </c>
      <c r="D1039" s="15">
        <v>1414.0</v>
      </c>
      <c r="E1039" s="15">
        <v>14.0</v>
      </c>
      <c r="F1039" s="15">
        <v>0.69</v>
      </c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  <c r="AD1039" s="15"/>
      <c r="AE1039" s="15"/>
    </row>
    <row r="1040" ht="19.5" customHeight="1">
      <c r="A1040" s="15"/>
      <c r="B1040" s="15">
        <v>2.0</v>
      </c>
      <c r="C1040" s="15">
        <v>3.0</v>
      </c>
      <c r="D1040" s="15">
        <v>1524.0</v>
      </c>
      <c r="E1040" s="15">
        <v>19.0</v>
      </c>
      <c r="F1040" s="15">
        <v>1.95</v>
      </c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</row>
    <row r="1041" ht="19.5" customHeight="1">
      <c r="A1041" s="15"/>
      <c r="B1041" s="15">
        <v>2.0</v>
      </c>
      <c r="C1041" s="15">
        <v>3.0</v>
      </c>
      <c r="D1041" s="15">
        <v>960.0</v>
      </c>
      <c r="E1041" s="15">
        <v>14.0</v>
      </c>
      <c r="F1041" s="15">
        <v>0.87</v>
      </c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  <c r="AD1041" s="15"/>
      <c r="AE1041" s="15"/>
    </row>
    <row r="1042" ht="19.5" customHeight="1">
      <c r="A1042" s="15"/>
      <c r="B1042" s="15">
        <v>2.0</v>
      </c>
      <c r="C1042" s="15">
        <v>3.0</v>
      </c>
      <c r="D1042" s="15">
        <v>789.0</v>
      </c>
      <c r="E1042" s="15">
        <v>4.0</v>
      </c>
      <c r="F1042" s="15">
        <v>2.08</v>
      </c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  <c r="AD1042" s="15"/>
      <c r="AE1042" s="15"/>
    </row>
    <row r="1043" ht="19.5" customHeight="1">
      <c r="A1043" s="15"/>
      <c r="B1043" s="15">
        <v>2.0</v>
      </c>
      <c r="C1043" s="15">
        <v>3.0</v>
      </c>
      <c r="D1043" s="15">
        <v>1012.0</v>
      </c>
      <c r="E1043" s="15">
        <v>9.0</v>
      </c>
      <c r="F1043" s="15">
        <v>1.5</v>
      </c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</row>
    <row r="1044" ht="19.5" customHeight="1">
      <c r="A1044" s="15"/>
      <c r="B1044" s="15">
        <v>2.0</v>
      </c>
      <c r="C1044" s="15">
        <v>3.0</v>
      </c>
      <c r="D1044" s="15">
        <v>1521.0</v>
      </c>
      <c r="E1044" s="15">
        <v>14.0</v>
      </c>
      <c r="F1044" s="15">
        <v>1.23</v>
      </c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</row>
    <row r="1045" ht="19.5" customHeight="1">
      <c r="A1045" s="15"/>
      <c r="B1045" s="15">
        <v>2.0</v>
      </c>
      <c r="C1045" s="15">
        <v>3.0</v>
      </c>
      <c r="D1045" s="15">
        <v>1401.0</v>
      </c>
      <c r="E1045" s="15">
        <v>21.0</v>
      </c>
      <c r="F1045" s="15">
        <v>0.83</v>
      </c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</row>
    <row r="1046" ht="19.5" customHeight="1">
      <c r="A1046" s="15"/>
      <c r="B1046" s="15">
        <v>2.0</v>
      </c>
      <c r="C1046" s="15">
        <v>3.0</v>
      </c>
      <c r="D1046" s="15">
        <v>1638.0</v>
      </c>
      <c r="E1046" s="15">
        <v>10.0</v>
      </c>
      <c r="F1046" s="15">
        <v>1.8</v>
      </c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</row>
    <row r="1047" ht="19.5" customHeight="1">
      <c r="A1047" s="15"/>
      <c r="B1047" s="15">
        <v>2.0</v>
      </c>
      <c r="C1047" s="15">
        <v>3.0</v>
      </c>
      <c r="D1047" s="15">
        <v>824.0</v>
      </c>
      <c r="E1047" s="15">
        <v>15.0</v>
      </c>
      <c r="F1047" s="15">
        <v>0.73</v>
      </c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</row>
    <row r="1048" ht="19.5" customHeight="1">
      <c r="A1048" s="15"/>
      <c r="B1048" s="15">
        <v>2.0</v>
      </c>
      <c r="C1048" s="15">
        <v>3.0</v>
      </c>
      <c r="D1048" s="15">
        <v>1644.0</v>
      </c>
      <c r="E1048" s="15">
        <v>18.0</v>
      </c>
      <c r="F1048" s="15">
        <v>0.07</v>
      </c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</row>
    <row r="1049" ht="19.5" customHeight="1">
      <c r="A1049" s="15"/>
      <c r="B1049" s="15">
        <v>2.0</v>
      </c>
      <c r="C1049" s="15">
        <v>3.0</v>
      </c>
      <c r="D1049" s="15">
        <v>1354.0</v>
      </c>
      <c r="E1049" s="15">
        <v>13.0</v>
      </c>
      <c r="F1049" s="15">
        <v>2.46</v>
      </c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</row>
    <row r="1050" ht="19.5" customHeight="1">
      <c r="A1050" s="15"/>
      <c r="B1050" s="15">
        <v>2.0</v>
      </c>
      <c r="C1050" s="15">
        <v>3.0</v>
      </c>
      <c r="D1050" s="15">
        <v>822.0</v>
      </c>
      <c r="E1050" s="15">
        <v>9.0</v>
      </c>
      <c r="F1050" s="15">
        <v>2.53</v>
      </c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</row>
    <row r="1051" ht="19.5" customHeight="1">
      <c r="A1051" s="15"/>
      <c r="B1051" s="15">
        <v>2.0</v>
      </c>
      <c r="C1051" s="15">
        <v>3.0</v>
      </c>
      <c r="D1051" s="15">
        <v>1093.0</v>
      </c>
      <c r="E1051" s="15">
        <v>7.0</v>
      </c>
      <c r="F1051" s="15">
        <v>1.33</v>
      </c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</row>
    <row r="1052" ht="19.5" customHeight="1">
      <c r="A1052" s="15"/>
      <c r="B1052" s="15">
        <v>2.0</v>
      </c>
      <c r="C1052" s="15">
        <v>3.0</v>
      </c>
      <c r="D1052" s="15">
        <v>1310.0</v>
      </c>
      <c r="E1052" s="15">
        <v>12.0</v>
      </c>
      <c r="F1052" s="15">
        <v>0.62</v>
      </c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</row>
    <row r="1053" ht="19.5" customHeight="1">
      <c r="A1053" s="15"/>
      <c r="B1053" s="15">
        <v>2.0</v>
      </c>
      <c r="C1053" s="15">
        <v>3.0</v>
      </c>
      <c r="D1053" s="15">
        <v>1193.0</v>
      </c>
      <c r="E1053" s="15">
        <v>8.0</v>
      </c>
      <c r="F1053" s="15">
        <v>2.42</v>
      </c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</row>
    <row r="1054" ht="19.5" customHeight="1">
      <c r="A1054" s="15"/>
      <c r="B1054" s="15">
        <v>2.0</v>
      </c>
      <c r="C1054" s="15">
        <v>3.0</v>
      </c>
      <c r="D1054" s="15">
        <v>1606.0</v>
      </c>
      <c r="E1054" s="15">
        <v>6.0</v>
      </c>
      <c r="F1054" s="15">
        <v>0.86</v>
      </c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</row>
    <row r="1055" ht="19.5" customHeight="1">
      <c r="A1055" s="15"/>
      <c r="B1055" s="15">
        <v>2.0</v>
      </c>
      <c r="C1055" s="15">
        <v>3.0</v>
      </c>
      <c r="D1055" s="15">
        <v>1710.0</v>
      </c>
      <c r="E1055" s="15">
        <v>15.0</v>
      </c>
      <c r="F1055" s="15">
        <v>1.37</v>
      </c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</row>
    <row r="1056" ht="19.5" customHeight="1">
      <c r="A1056" s="15"/>
      <c r="B1056" s="15"/>
      <c r="C1056" s="15"/>
      <c r="D1056" s="15"/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</row>
    <row r="1057" ht="19.5" customHeight="1">
      <c r="A1057" s="15"/>
      <c r="B1057" s="15"/>
      <c r="C1057" s="15"/>
      <c r="D1057" s="15"/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</row>
    <row r="1058" ht="19.5" customHeight="1">
      <c r="A1058" s="15"/>
      <c r="B1058" s="15"/>
      <c r="C1058" s="15"/>
      <c r="D1058" s="15"/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</row>
    <row r="1059" ht="19.5" customHeight="1">
      <c r="A1059" s="15"/>
      <c r="B1059" s="15"/>
      <c r="C1059" s="15"/>
      <c r="D1059" s="15"/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</row>
    <row r="1060" ht="19.5" customHeight="1">
      <c r="A1060" s="15"/>
      <c r="B1060" s="15"/>
      <c r="C1060" s="15"/>
      <c r="D1060" s="15"/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  <c r="AD1060" s="15"/>
      <c r="AE1060" s="15"/>
    </row>
    <row r="1061" ht="19.5" customHeight="1">
      <c r="A1061" s="15"/>
      <c r="B1061" s="15"/>
      <c r="C1061" s="15"/>
      <c r="D1061" s="15"/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</row>
    <row r="1062" ht="19.5" customHeight="1">
      <c r="A1062" s="15"/>
      <c r="B1062" s="15"/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</row>
    <row r="1063" ht="19.5" customHeight="1">
      <c r="A1063" s="15"/>
      <c r="B1063" s="15"/>
      <c r="C1063" s="15"/>
      <c r="D1063" s="15"/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</row>
    <row r="1064" ht="19.5" customHeight="1">
      <c r="A1064" s="15"/>
      <c r="B1064" s="15"/>
      <c r="C1064" s="15"/>
      <c r="D1064" s="15"/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</row>
    <row r="1065" ht="19.5" customHeight="1">
      <c r="A1065" s="15"/>
      <c r="B1065" s="15"/>
      <c r="C1065" s="15"/>
      <c r="D1065" s="15"/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</row>
    <row r="1066" ht="19.5" customHeight="1">
      <c r="A1066" s="15"/>
      <c r="B1066" s="15"/>
      <c r="C1066" s="15"/>
      <c r="D1066" s="15"/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  <c r="AD1066" s="15"/>
      <c r="AE1066" s="15"/>
    </row>
    <row r="1067" ht="19.5" customHeight="1">
      <c r="A1067" s="15"/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</row>
    <row r="1068" ht="19.5" customHeight="1">
      <c r="A1068" s="15"/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  <c r="AD1068" s="15"/>
      <c r="AE1068" s="15"/>
    </row>
    <row r="1069" ht="19.5" customHeight="1">
      <c r="A1069" s="15"/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</row>
    <row r="1070" ht="19.5" customHeight="1">
      <c r="A1070" s="15"/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</row>
    <row r="1071" ht="19.5" customHeight="1">
      <c r="A1071" s="15"/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  <c r="AA1071" s="15"/>
      <c r="AB1071" s="15"/>
      <c r="AC1071" s="15"/>
      <c r="AD1071" s="15"/>
      <c r="AE1071" s="15"/>
    </row>
    <row r="1072" ht="19.5" customHeight="1">
      <c r="A1072" s="15"/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</row>
    <row r="1073" ht="19.5" customHeight="1">
      <c r="A1073" s="15"/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</row>
    <row r="1074" ht="19.5" customHeight="1">
      <c r="A1074" s="15"/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  <c r="AD1074" s="15"/>
      <c r="AE1074" s="15"/>
    </row>
    <row r="1075" ht="19.5" customHeight="1">
      <c r="A1075" s="15"/>
      <c r="B1075" s="15"/>
      <c r="C1075" s="15"/>
      <c r="D1075" s="15"/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</row>
    <row r="1076" ht="19.5" customHeight="1">
      <c r="A1076" s="15"/>
      <c r="B1076" s="15"/>
      <c r="C1076" s="15"/>
      <c r="D1076" s="15"/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</row>
    <row r="1077" ht="19.5" customHeight="1">
      <c r="A1077" s="15"/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</row>
    <row r="1078" ht="19.5" customHeight="1">
      <c r="A1078" s="15"/>
      <c r="B1078" s="15"/>
      <c r="C1078" s="15"/>
      <c r="D1078" s="15"/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  <c r="AD1078" s="15"/>
      <c r="AE1078" s="15"/>
    </row>
    <row r="1079" ht="19.5" customHeight="1">
      <c r="A1079" s="15"/>
      <c r="B1079" s="15"/>
      <c r="C1079" s="15"/>
      <c r="D1079" s="15"/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</row>
    <row r="1080" ht="19.5" customHeight="1">
      <c r="A1080" s="15"/>
      <c r="B1080" s="15"/>
      <c r="C1080" s="15"/>
      <c r="D1080" s="15"/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</row>
    <row r="1081" ht="19.5" customHeight="1">
      <c r="A1081" s="15"/>
      <c r="B1081" s="15"/>
      <c r="C1081" s="15"/>
      <c r="D1081" s="15"/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</row>
    <row r="1082" ht="19.5" customHeight="1">
      <c r="A1082" s="15"/>
      <c r="B1082" s="15"/>
      <c r="C1082" s="15"/>
      <c r="D1082" s="15"/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  <c r="Y1082" s="15"/>
      <c r="Z1082" s="15"/>
      <c r="AA1082" s="15"/>
      <c r="AB1082" s="15"/>
      <c r="AC1082" s="15"/>
      <c r="AD1082" s="15"/>
      <c r="AE1082" s="15"/>
    </row>
    <row r="1083" ht="19.5" customHeight="1">
      <c r="A1083" s="15"/>
      <c r="B1083" s="15"/>
      <c r="C1083" s="15"/>
      <c r="D1083" s="15"/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  <c r="AD1083" s="15"/>
      <c r="AE1083" s="15"/>
    </row>
    <row r="1084" ht="19.5" customHeight="1">
      <c r="A1084" s="15"/>
      <c r="B1084" s="15"/>
      <c r="C1084" s="15"/>
      <c r="D1084" s="15"/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  <c r="AD1084" s="15"/>
      <c r="AE1084" s="15"/>
    </row>
    <row r="1085" ht="19.5" customHeight="1">
      <c r="A1085" s="15"/>
      <c r="B1085" s="15"/>
      <c r="C1085" s="15"/>
      <c r="D1085" s="15"/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  <c r="AD1085" s="15"/>
      <c r="AE1085" s="15"/>
    </row>
    <row r="1086" ht="19.5" customHeight="1">
      <c r="A1086" s="15"/>
      <c r="B1086" s="15"/>
      <c r="C1086" s="15"/>
      <c r="D1086" s="15"/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  <c r="AD1086" s="15"/>
      <c r="AE1086" s="15"/>
    </row>
    <row r="1087" ht="19.5" customHeight="1">
      <c r="A1087" s="15"/>
      <c r="B1087" s="15"/>
      <c r="C1087" s="15"/>
      <c r="D1087" s="15"/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</row>
    <row r="1088" ht="19.5" customHeight="1">
      <c r="A1088" s="15"/>
      <c r="B1088" s="15"/>
      <c r="C1088" s="15"/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</row>
    <row r="1089" ht="19.5" customHeight="1">
      <c r="A1089" s="15"/>
      <c r="B1089" s="15"/>
      <c r="C1089" s="15"/>
      <c r="D1089" s="15"/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</row>
    <row r="1090" ht="19.5" customHeight="1">
      <c r="A1090" s="15"/>
      <c r="B1090" s="15"/>
      <c r="C1090" s="15"/>
      <c r="D1090" s="15"/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</row>
    <row r="1091" ht="19.5" customHeight="1">
      <c r="A1091" s="15"/>
      <c r="B1091" s="15"/>
      <c r="C1091" s="15"/>
      <c r="D1091" s="15"/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</row>
    <row r="1092" ht="19.5" customHeight="1">
      <c r="A1092" s="15"/>
      <c r="B1092" s="15"/>
      <c r="C1092" s="15"/>
      <c r="D1092" s="15"/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</row>
    <row r="1093" ht="19.5" customHeight="1">
      <c r="A1093" s="15"/>
      <c r="B1093" s="15"/>
      <c r="C1093" s="15"/>
      <c r="D1093" s="15"/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</row>
    <row r="1094" ht="19.5" customHeight="1">
      <c r="A1094" s="15"/>
      <c r="B1094" s="15"/>
      <c r="C1094" s="15"/>
      <c r="D1094" s="15"/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</row>
    <row r="1095" ht="19.5" customHeight="1">
      <c r="A1095" s="15"/>
      <c r="B1095" s="15"/>
      <c r="C1095" s="15"/>
      <c r="D1095" s="15"/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</row>
    <row r="1096" ht="19.5" customHeight="1">
      <c r="A1096" s="15"/>
      <c r="B1096" s="15"/>
      <c r="C1096" s="15"/>
      <c r="D1096" s="15"/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</row>
    <row r="1097" ht="19.5" customHeight="1">
      <c r="A1097" s="15"/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</row>
    <row r="1098" ht="19.5" customHeight="1">
      <c r="A1098" s="15"/>
      <c r="B1098" s="15"/>
      <c r="C1098" s="15"/>
      <c r="D1098" s="15"/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</row>
    <row r="1099" ht="19.5" customHeight="1">
      <c r="A1099" s="15"/>
      <c r="B1099" s="15"/>
      <c r="C1099" s="15"/>
      <c r="D1099" s="15"/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</row>
    <row r="1100" ht="19.5" customHeight="1">
      <c r="A1100" s="15"/>
      <c r="B1100" s="15"/>
      <c r="C1100" s="15"/>
      <c r="D1100" s="15"/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</row>
    <row r="1101" ht="19.5" customHeight="1">
      <c r="A1101" s="15"/>
      <c r="B1101" s="15"/>
      <c r="C1101" s="15"/>
      <c r="D1101" s="15"/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</row>
    <row r="1102" ht="19.5" customHeight="1">
      <c r="A1102" s="15"/>
      <c r="B1102" s="15"/>
      <c r="C1102" s="15"/>
      <c r="D1102" s="15"/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</row>
    <row r="1103" ht="19.5" customHeight="1">
      <c r="A1103" s="15"/>
      <c r="B1103" s="15"/>
      <c r="C1103" s="15"/>
      <c r="D1103" s="15"/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</row>
    <row r="1104" ht="19.5" customHeight="1">
      <c r="A1104" s="15"/>
      <c r="B1104" s="15"/>
      <c r="C1104" s="15"/>
      <c r="D1104" s="15"/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</row>
    <row r="1105" ht="19.5" customHeight="1">
      <c r="A1105" s="15"/>
      <c r="B1105" s="15"/>
      <c r="C1105" s="15"/>
      <c r="D1105" s="15"/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</row>
    <row r="1106" ht="19.5" customHeight="1">
      <c r="A1106" s="15"/>
      <c r="B1106" s="15"/>
      <c r="C1106" s="15"/>
      <c r="D1106" s="15"/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</row>
    <row r="1107" ht="19.5" customHeight="1">
      <c r="A1107" s="15"/>
      <c r="B1107" s="15"/>
      <c r="C1107" s="15"/>
      <c r="D1107" s="15"/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</row>
    <row r="1108" ht="19.5" customHeight="1">
      <c r="A1108" s="15"/>
      <c r="B1108" s="15"/>
      <c r="C1108" s="15"/>
      <c r="D1108" s="15"/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</row>
    <row r="1109" ht="19.5" customHeight="1">
      <c r="A1109" s="15"/>
      <c r="B1109" s="15"/>
      <c r="C1109" s="15"/>
      <c r="D1109" s="15"/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</row>
    <row r="1110" ht="19.5" customHeight="1">
      <c r="A1110" s="15"/>
      <c r="B1110" s="15"/>
      <c r="C1110" s="15"/>
      <c r="D1110" s="15"/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</row>
    <row r="1111" ht="19.5" customHeight="1">
      <c r="A1111" s="15"/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</row>
    <row r="1112" ht="19.5" customHeight="1">
      <c r="A1112" s="15"/>
      <c r="B1112" s="15"/>
      <c r="C1112" s="15"/>
      <c r="D1112" s="15"/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</row>
    <row r="1113" ht="19.5" customHeight="1">
      <c r="A1113" s="15"/>
      <c r="B1113" s="15"/>
      <c r="C1113" s="15"/>
      <c r="D1113" s="15"/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</row>
    <row r="1114" ht="19.5" customHeight="1">
      <c r="A1114" s="15"/>
      <c r="B1114" s="15"/>
      <c r="C1114" s="15"/>
      <c r="D1114" s="15"/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</row>
    <row r="1115" ht="19.5" customHeight="1">
      <c r="A1115" s="15"/>
      <c r="B1115" s="15"/>
      <c r="C1115" s="15"/>
      <c r="D1115" s="15"/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  <c r="AD1115" s="15"/>
      <c r="AE1115" s="15"/>
    </row>
    <row r="1116" ht="19.5" customHeight="1">
      <c r="A1116" s="15"/>
      <c r="B1116" s="15"/>
      <c r="C1116" s="15"/>
      <c r="D1116" s="15"/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</row>
    <row r="1117" ht="19.5" customHeight="1">
      <c r="A1117" s="15"/>
      <c r="B1117" s="15"/>
      <c r="C1117" s="15"/>
      <c r="D1117" s="15"/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</row>
    <row r="1118" ht="19.5" customHeight="1">
      <c r="A1118" s="15"/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</row>
    <row r="1119" ht="19.5" customHeight="1">
      <c r="A1119" s="15"/>
      <c r="B1119" s="15"/>
      <c r="C1119" s="15"/>
      <c r="D1119" s="15"/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</row>
    <row r="1120" ht="19.5" customHeight="1">
      <c r="A1120" s="15"/>
      <c r="B1120" s="15"/>
      <c r="C1120" s="15"/>
      <c r="D1120" s="15"/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  <c r="Y1120" s="15"/>
      <c r="Z1120" s="15"/>
      <c r="AA1120" s="15"/>
      <c r="AB1120" s="15"/>
      <c r="AC1120" s="15"/>
      <c r="AD1120" s="15"/>
      <c r="AE1120" s="15"/>
    </row>
    <row r="1121" ht="19.5" customHeight="1">
      <c r="A1121" s="15"/>
      <c r="B1121" s="15"/>
      <c r="C1121" s="15"/>
      <c r="D1121" s="15"/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</row>
    <row r="1122" ht="19.5" customHeight="1">
      <c r="A1122" s="15"/>
      <c r="B1122" s="15"/>
      <c r="C1122" s="15"/>
      <c r="D1122" s="15"/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</row>
    <row r="1123" ht="19.5" customHeight="1">
      <c r="A1123" s="15"/>
      <c r="B1123" s="15"/>
      <c r="C1123" s="15"/>
      <c r="D1123" s="15"/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</row>
    <row r="1124" ht="19.5" customHeight="1">
      <c r="A1124" s="15"/>
      <c r="B1124" s="15"/>
      <c r="C1124" s="15"/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</row>
    <row r="1125" ht="19.5" customHeight="1">
      <c r="A1125" s="15"/>
      <c r="B1125" s="15"/>
      <c r="C1125" s="15"/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</row>
    <row r="1126" ht="19.5" customHeight="1">
      <c r="A1126" s="15"/>
      <c r="B1126" s="15"/>
      <c r="C1126" s="15"/>
      <c r="D1126" s="15"/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</row>
    <row r="1127" ht="19.5" customHeight="1">
      <c r="A1127" s="15"/>
      <c r="B1127" s="15"/>
      <c r="C1127" s="15"/>
      <c r="D1127" s="15"/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</row>
    <row r="1128" ht="19.5" customHeight="1">
      <c r="A1128" s="15"/>
      <c r="B1128" s="15"/>
      <c r="C1128" s="15"/>
      <c r="D1128" s="15"/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</row>
    <row r="1129" ht="19.5" customHeight="1">
      <c r="A1129" s="15"/>
      <c r="B1129" s="15"/>
      <c r="C1129" s="15"/>
      <c r="D1129" s="15"/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</row>
    <row r="1130" ht="19.5" customHeight="1">
      <c r="A1130" s="15"/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</row>
    <row r="1131" ht="19.5" customHeight="1">
      <c r="A1131" s="15"/>
      <c r="B1131" s="15"/>
      <c r="C1131" s="15"/>
      <c r="D1131" s="15"/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</row>
    <row r="1132" ht="19.5" customHeight="1">
      <c r="A1132" s="15"/>
      <c r="B1132" s="15"/>
      <c r="C1132" s="15"/>
      <c r="D1132" s="15"/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  <c r="AD1132" s="15"/>
      <c r="AE1132" s="15"/>
    </row>
    <row r="1133" ht="19.5" customHeight="1">
      <c r="A1133" s="15"/>
      <c r="B1133" s="15"/>
      <c r="C1133" s="15"/>
      <c r="D1133" s="15"/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/>
    </row>
    <row r="1134" ht="19.5" customHeight="1">
      <c r="A1134" s="15"/>
      <c r="B1134" s="15"/>
      <c r="C1134" s="15"/>
      <c r="D1134" s="15"/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</row>
    <row r="1135" ht="19.5" customHeight="1">
      <c r="A1135" s="15"/>
      <c r="B1135" s="15"/>
      <c r="C1135" s="15"/>
      <c r="D1135" s="15"/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</row>
    <row r="1136" ht="19.5" customHeight="1">
      <c r="A1136" s="15"/>
      <c r="B1136" s="15"/>
      <c r="C1136" s="15"/>
      <c r="D1136" s="15"/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</row>
    <row r="1137" ht="19.5" customHeight="1">
      <c r="A1137" s="15"/>
      <c r="B1137" s="15"/>
      <c r="C1137" s="15"/>
      <c r="D1137" s="15"/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  <c r="AD1137" s="15"/>
      <c r="AE1137" s="15"/>
    </row>
    <row r="1138" ht="19.5" customHeight="1">
      <c r="A1138" s="15"/>
      <c r="B1138" s="15"/>
      <c r="C1138" s="15"/>
      <c r="D1138" s="15"/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</row>
    <row r="1139" ht="19.5" customHeight="1">
      <c r="A1139" s="15"/>
      <c r="B1139" s="15"/>
      <c r="C1139" s="15"/>
      <c r="D1139" s="15"/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</row>
    <row r="1140" ht="19.5" customHeight="1">
      <c r="A1140" s="15"/>
      <c r="B1140" s="15"/>
      <c r="C1140" s="15"/>
      <c r="D1140" s="15"/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  <c r="AD1140" s="15"/>
      <c r="AE1140" s="15"/>
    </row>
    <row r="1141" ht="19.5" customHeight="1">
      <c r="A1141" s="15"/>
      <c r="B1141" s="15"/>
      <c r="C1141" s="15"/>
      <c r="D1141" s="15"/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</row>
    <row r="1142" ht="19.5" customHeight="1">
      <c r="A1142" s="15"/>
      <c r="B1142" s="15"/>
      <c r="C1142" s="15"/>
      <c r="D1142" s="15"/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</row>
    <row r="1143" ht="19.5" customHeight="1">
      <c r="A1143" s="15"/>
      <c r="B1143" s="15"/>
      <c r="C1143" s="15"/>
      <c r="D1143" s="15"/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</row>
    <row r="1144" ht="19.5" customHeight="1">
      <c r="A1144" s="15"/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</row>
    <row r="1145" ht="19.5" customHeight="1">
      <c r="A1145" s="15"/>
      <c r="B1145" s="15"/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</row>
    <row r="1146" ht="19.5" customHeight="1">
      <c r="A1146" s="15"/>
      <c r="B1146" s="15"/>
      <c r="C1146" s="15"/>
      <c r="D1146" s="15"/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/>
    </row>
    <row r="1147" ht="19.5" customHeight="1">
      <c r="A1147" s="15"/>
      <c r="B1147" s="15"/>
      <c r="C1147" s="15"/>
      <c r="D1147" s="15"/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/>
    </row>
    <row r="1148" ht="19.5" customHeight="1">
      <c r="A1148" s="15"/>
      <c r="B1148" s="15"/>
      <c r="C1148" s="15"/>
      <c r="D1148" s="15"/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</row>
    <row r="1149" ht="19.5" customHeight="1">
      <c r="A1149" s="15"/>
      <c r="B1149" s="15"/>
      <c r="C1149" s="15"/>
      <c r="D1149" s="15"/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</row>
    <row r="1150" ht="19.5" customHeight="1">
      <c r="A1150" s="15"/>
      <c r="B1150" s="15"/>
      <c r="C1150" s="15"/>
      <c r="D1150" s="15"/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</row>
    <row r="1151" ht="19.5" customHeight="1">
      <c r="A1151" s="15"/>
      <c r="B1151" s="15"/>
      <c r="C1151" s="15"/>
      <c r="D1151" s="15"/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</row>
    <row r="1152" ht="19.5" customHeight="1">
      <c r="A1152" s="15"/>
      <c r="B1152" s="15"/>
      <c r="C1152" s="15"/>
      <c r="D1152" s="15"/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</row>
    <row r="1153" ht="19.5" customHeight="1">
      <c r="A1153" s="15"/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</row>
    <row r="1154" ht="19.5" customHeight="1">
      <c r="A1154" s="15"/>
      <c r="B1154" s="15"/>
      <c r="C1154" s="15"/>
      <c r="D1154" s="15"/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</row>
    <row r="1155" ht="19.5" customHeight="1">
      <c r="A1155" s="15"/>
      <c r="B1155" s="15"/>
      <c r="C1155" s="15"/>
      <c r="D1155" s="15"/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</row>
    <row r="1156" ht="19.5" customHeight="1">
      <c r="A1156" s="15"/>
      <c r="B1156" s="15"/>
      <c r="C1156" s="15"/>
      <c r="D1156" s="15"/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  <c r="AD1156" s="15"/>
      <c r="AE1156" s="15"/>
    </row>
    <row r="1157" ht="19.5" customHeight="1">
      <c r="A1157" s="15"/>
      <c r="B1157" s="15"/>
      <c r="C1157" s="15"/>
      <c r="D1157" s="15"/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</row>
    <row r="1158" ht="19.5" customHeight="1">
      <c r="A1158" s="15"/>
      <c r="B1158" s="15"/>
      <c r="C1158" s="15"/>
      <c r="D1158" s="15"/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</row>
    <row r="1159" ht="19.5" customHeight="1">
      <c r="A1159" s="15"/>
      <c r="B1159" s="15"/>
      <c r="C1159" s="15"/>
      <c r="D1159" s="15"/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</row>
    <row r="1160" ht="19.5" customHeight="1">
      <c r="A1160" s="15"/>
      <c r="B1160" s="15"/>
      <c r="C1160" s="15"/>
      <c r="D1160" s="15"/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  <c r="AD1160" s="15"/>
      <c r="AE1160" s="15"/>
    </row>
    <row r="1161" ht="19.5" customHeight="1">
      <c r="A1161" s="15"/>
      <c r="B1161" s="15"/>
      <c r="C1161" s="15"/>
      <c r="D1161" s="15"/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</row>
    <row r="1162" ht="19.5" customHeight="1">
      <c r="A1162" s="15"/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</row>
    <row r="1163" ht="19.5" customHeight="1">
      <c r="A1163" s="15"/>
      <c r="B1163" s="15"/>
      <c r="C1163" s="15"/>
      <c r="D1163" s="15"/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</row>
    <row r="1164" ht="19.5" customHeight="1">
      <c r="A1164" s="15"/>
      <c r="B1164" s="15"/>
      <c r="C1164" s="15"/>
      <c r="D1164" s="15"/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</row>
    <row r="1165" ht="19.5" customHeight="1">
      <c r="A1165" s="15"/>
      <c r="B1165" s="15"/>
      <c r="C1165" s="15"/>
      <c r="D1165" s="15"/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</row>
    <row r="1166" ht="19.5" customHeight="1">
      <c r="A1166" s="15"/>
      <c r="B1166" s="15"/>
      <c r="C1166" s="15"/>
      <c r="D1166" s="15"/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</row>
    <row r="1167" ht="19.5" customHeight="1">
      <c r="A1167" s="15"/>
      <c r="B1167" s="15"/>
      <c r="C1167" s="15"/>
      <c r="D1167" s="15"/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</row>
    <row r="1168" ht="19.5" customHeight="1">
      <c r="A1168" s="15"/>
      <c r="B1168" s="15"/>
      <c r="C1168" s="15"/>
      <c r="D1168" s="15"/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/>
    </row>
    <row r="1169" ht="19.5" customHeight="1">
      <c r="A1169" s="15"/>
      <c r="B1169" s="15"/>
      <c r="C1169" s="15"/>
      <c r="D1169" s="15"/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</row>
    <row r="1170" ht="19.5" customHeight="1">
      <c r="A1170" s="15"/>
      <c r="B1170" s="15"/>
      <c r="C1170" s="15"/>
      <c r="D1170" s="15"/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</row>
    <row r="1171" ht="19.5" customHeight="1">
      <c r="A1171" s="15"/>
      <c r="B1171" s="15"/>
      <c r="C1171" s="15"/>
      <c r="D1171" s="15"/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  <c r="AD1171" s="15"/>
      <c r="AE1171" s="15"/>
    </row>
    <row r="1172" ht="19.5" customHeight="1">
      <c r="A1172" s="15"/>
      <c r="B1172" s="15"/>
      <c r="C1172" s="15"/>
      <c r="D1172" s="15"/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  <c r="AD1172" s="15"/>
      <c r="AE1172" s="15"/>
    </row>
    <row r="1173" ht="19.5" customHeight="1">
      <c r="A1173" s="15"/>
      <c r="B1173" s="15"/>
      <c r="C1173" s="15"/>
      <c r="D1173" s="15"/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</row>
    <row r="1174" ht="19.5" customHeight="1">
      <c r="A1174" s="15"/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</row>
    <row r="1175" ht="19.5" customHeight="1">
      <c r="A1175" s="15"/>
      <c r="B1175" s="15"/>
      <c r="C1175" s="15"/>
      <c r="D1175" s="15"/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  <c r="AD1175" s="15"/>
      <c r="AE1175" s="15"/>
    </row>
    <row r="1176" ht="19.5" customHeight="1">
      <c r="A1176" s="15"/>
      <c r="B1176" s="15"/>
      <c r="C1176" s="15"/>
      <c r="D1176" s="15"/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  <c r="AD1176" s="15"/>
      <c r="AE1176" s="15"/>
    </row>
    <row r="1177" ht="19.5" customHeight="1">
      <c r="A1177" s="15"/>
      <c r="B1177" s="15"/>
      <c r="C1177" s="15"/>
      <c r="D1177" s="15"/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</row>
    <row r="1178" ht="19.5" customHeight="1">
      <c r="A1178" s="15"/>
      <c r="B1178" s="15"/>
      <c r="C1178" s="15"/>
      <c r="D1178" s="15"/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</row>
    <row r="1179" ht="19.5" customHeight="1">
      <c r="A1179" s="15"/>
      <c r="B1179" s="15"/>
      <c r="C1179" s="15"/>
      <c r="D1179" s="15"/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  <c r="AD1179" s="15"/>
      <c r="AE1179" s="15"/>
    </row>
    <row r="1180" ht="19.5" customHeight="1">
      <c r="A1180" s="15"/>
      <c r="B1180" s="15"/>
      <c r="C1180" s="15"/>
      <c r="D1180" s="15"/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  <c r="AD1180" s="15"/>
      <c r="AE1180" s="15"/>
    </row>
    <row r="1181" ht="19.5" customHeight="1">
      <c r="A1181" s="15"/>
      <c r="B1181" s="15"/>
      <c r="C1181" s="15"/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/>
    </row>
    <row r="1182" ht="19.5" customHeight="1">
      <c r="A1182" s="15"/>
      <c r="B1182" s="15"/>
      <c r="C1182" s="15"/>
      <c r="D1182" s="15"/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</row>
    <row r="1183" ht="19.5" customHeight="1">
      <c r="A1183" s="15"/>
      <c r="B1183" s="15"/>
      <c r="C1183" s="15"/>
      <c r="D1183" s="15"/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</row>
    <row r="1184" ht="19.5" customHeight="1">
      <c r="A1184" s="15"/>
      <c r="B1184" s="15"/>
      <c r="C1184" s="15"/>
      <c r="D1184" s="15"/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  <c r="AD1184" s="15"/>
      <c r="AE1184" s="15"/>
    </row>
    <row r="1185" ht="19.5" customHeight="1">
      <c r="A1185" s="15"/>
      <c r="B1185" s="15"/>
      <c r="C1185" s="15"/>
      <c r="D1185" s="15"/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</row>
    <row r="1186" ht="19.5" customHeight="1">
      <c r="A1186" s="15"/>
      <c r="B1186" s="15"/>
      <c r="C1186" s="15"/>
      <c r="D1186" s="15"/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</row>
    <row r="1187" ht="19.5" customHeight="1">
      <c r="A1187" s="15"/>
      <c r="B1187" s="15"/>
      <c r="C1187" s="15"/>
      <c r="D1187" s="15"/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  <c r="AD1187" s="15"/>
      <c r="AE1187" s="15"/>
    </row>
    <row r="1188" ht="19.5" customHeight="1">
      <c r="A1188" s="15"/>
      <c r="B1188" s="15"/>
      <c r="C1188" s="15"/>
      <c r="D1188" s="15"/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</row>
    <row r="1189" ht="19.5" customHeight="1">
      <c r="A1189" s="15"/>
      <c r="B1189" s="15"/>
      <c r="C1189" s="15"/>
      <c r="D1189" s="15"/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</row>
    <row r="1190" ht="19.5" customHeight="1">
      <c r="A1190" s="15"/>
      <c r="B1190" s="15"/>
      <c r="C1190" s="15"/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</row>
    <row r="1191" ht="19.5" customHeight="1">
      <c r="A1191" s="15"/>
      <c r="B1191" s="15"/>
      <c r="C1191" s="15"/>
      <c r="D1191" s="15"/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</row>
    <row r="1192" ht="19.5" customHeight="1">
      <c r="A1192" s="15"/>
      <c r="B1192" s="15"/>
      <c r="C1192" s="15"/>
      <c r="D1192" s="15"/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</row>
    <row r="1193" ht="19.5" customHeight="1">
      <c r="A1193" s="15"/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</row>
    <row r="1194" ht="19.5" customHeight="1">
      <c r="A1194" s="15"/>
      <c r="B1194" s="15"/>
      <c r="C1194" s="15"/>
      <c r="D1194" s="15"/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</row>
    <row r="1195" ht="19.5" customHeight="1">
      <c r="A1195" s="15"/>
      <c r="B1195" s="15"/>
      <c r="C1195" s="15"/>
      <c r="D1195" s="15"/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</row>
    <row r="1196" ht="19.5" customHeight="1">
      <c r="A1196" s="15"/>
      <c r="B1196" s="15"/>
      <c r="C1196" s="15"/>
      <c r="D1196" s="15"/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</row>
    <row r="1197" ht="19.5" customHeight="1">
      <c r="A1197" s="15"/>
      <c r="B1197" s="15"/>
      <c r="C1197" s="15"/>
      <c r="D1197" s="15"/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</row>
    <row r="1198" ht="19.5" customHeight="1">
      <c r="A1198" s="15"/>
      <c r="B1198" s="15"/>
      <c r="C1198" s="15"/>
      <c r="D1198" s="15"/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</row>
    <row r="1199" ht="19.5" customHeight="1">
      <c r="A1199" s="15"/>
      <c r="B1199" s="15"/>
      <c r="C1199" s="15"/>
      <c r="D1199" s="15"/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</row>
    <row r="1200" ht="19.5" customHeight="1">
      <c r="A1200" s="15"/>
      <c r="B1200" s="15"/>
      <c r="C1200" s="15"/>
      <c r="D1200" s="15"/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</row>
    <row r="1201" ht="19.5" customHeight="1">
      <c r="A1201" s="15"/>
      <c r="B1201" s="15"/>
      <c r="C1201" s="15"/>
      <c r="D1201" s="15"/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  <c r="AD1201" s="15"/>
      <c r="AE1201" s="15"/>
    </row>
    <row r="1202" ht="19.5" customHeight="1">
      <c r="A1202" s="15"/>
      <c r="B1202" s="15"/>
      <c r="C1202" s="15"/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</row>
    <row r="1203" ht="19.5" customHeight="1">
      <c r="A1203" s="15"/>
      <c r="B1203" s="15"/>
      <c r="C1203" s="15"/>
      <c r="D1203" s="15"/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</row>
    <row r="1204" ht="19.5" customHeight="1">
      <c r="A1204" s="15"/>
      <c r="B1204" s="15"/>
      <c r="C1204" s="15"/>
      <c r="D1204" s="15"/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</row>
    <row r="1205" ht="19.5" customHeight="1">
      <c r="A1205" s="15"/>
      <c r="B1205" s="15"/>
      <c r="C1205" s="15"/>
      <c r="D1205" s="15"/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  <c r="AD1205" s="15"/>
      <c r="AE1205" s="15"/>
    </row>
    <row r="1206" ht="19.5" customHeight="1">
      <c r="A1206" s="15"/>
      <c r="B1206" s="15"/>
      <c r="C1206" s="15"/>
      <c r="D1206" s="15"/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</row>
    <row r="1207" ht="19.5" customHeight="1">
      <c r="A1207" s="15"/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</row>
    <row r="1208" ht="19.5" customHeight="1">
      <c r="A1208" s="15"/>
      <c r="B1208" s="15"/>
      <c r="C1208" s="15"/>
      <c r="D1208" s="15"/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</row>
    <row r="1209" ht="19.5" customHeight="1">
      <c r="A1209" s="15"/>
      <c r="B1209" s="15"/>
      <c r="C1209" s="15"/>
      <c r="D1209" s="15"/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</row>
    <row r="1210" ht="19.5" customHeight="1">
      <c r="A1210" s="15"/>
      <c r="B1210" s="15"/>
      <c r="C1210" s="15"/>
      <c r="D1210" s="15"/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  <c r="AD1210" s="15"/>
      <c r="AE1210" s="15"/>
    </row>
    <row r="1211" ht="19.5" customHeight="1">
      <c r="A1211" s="15"/>
      <c r="B1211" s="15"/>
      <c r="C1211" s="15"/>
      <c r="D1211" s="15"/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</row>
    <row r="1212" ht="19.5" customHeight="1">
      <c r="A1212" s="15"/>
      <c r="B1212" s="15"/>
      <c r="C1212" s="15"/>
      <c r="D1212" s="15"/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</row>
    <row r="1213" ht="19.5" customHeight="1">
      <c r="A1213" s="15"/>
      <c r="B1213" s="15"/>
      <c r="C1213" s="15"/>
      <c r="D1213" s="15"/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</row>
    <row r="1214" ht="19.5" customHeight="1">
      <c r="A1214" s="15"/>
      <c r="B1214" s="15"/>
      <c r="C1214" s="15"/>
      <c r="D1214" s="15"/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</row>
    <row r="1215" ht="19.5" customHeight="1">
      <c r="A1215" s="15"/>
      <c r="B1215" s="15"/>
      <c r="C1215" s="15"/>
      <c r="D1215" s="15"/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</row>
    <row r="1216" ht="19.5" customHeight="1">
      <c r="A1216" s="15"/>
      <c r="B1216" s="15"/>
      <c r="C1216" s="15"/>
      <c r="D1216" s="15"/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</row>
    <row r="1217" ht="19.5" customHeight="1">
      <c r="A1217" s="15"/>
      <c r="B1217" s="15"/>
      <c r="C1217" s="15"/>
      <c r="D1217" s="15"/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</row>
    <row r="1218" ht="19.5" customHeight="1">
      <c r="A1218" s="15"/>
      <c r="B1218" s="15"/>
      <c r="C1218" s="15"/>
      <c r="D1218" s="15"/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</row>
    <row r="1219" ht="19.5" customHeight="1">
      <c r="A1219" s="15"/>
      <c r="B1219" s="15"/>
      <c r="C1219" s="15"/>
      <c r="D1219" s="15"/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</row>
    <row r="1220" ht="19.5" customHeight="1">
      <c r="A1220" s="15"/>
      <c r="B1220" s="15"/>
      <c r="C1220" s="15"/>
      <c r="D1220" s="15"/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</row>
    <row r="1221" ht="19.5" customHeight="1">
      <c r="A1221" s="15"/>
      <c r="B1221" s="15"/>
      <c r="C1221" s="15"/>
      <c r="D1221" s="15"/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</row>
    <row r="1222" ht="19.5" customHeight="1">
      <c r="A1222" s="15"/>
      <c r="B1222" s="15"/>
      <c r="C1222" s="15"/>
      <c r="D1222" s="15"/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</row>
    <row r="1223" ht="19.5" customHeight="1">
      <c r="A1223" s="15"/>
      <c r="B1223" s="15"/>
      <c r="C1223" s="15"/>
      <c r="D1223" s="15"/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  <c r="AD1223" s="15"/>
      <c r="AE1223" s="15"/>
    </row>
    <row r="1224" ht="19.5" customHeight="1">
      <c r="A1224" s="15"/>
      <c r="B1224" s="15"/>
      <c r="C1224" s="15"/>
      <c r="D1224" s="15"/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</row>
    <row r="1225" ht="19.5" customHeight="1">
      <c r="A1225" s="15"/>
      <c r="B1225" s="15"/>
      <c r="C1225" s="15"/>
      <c r="D1225" s="15"/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</row>
    <row r="1226" ht="19.5" customHeight="1">
      <c r="A1226" s="15"/>
      <c r="B1226" s="15"/>
      <c r="C1226" s="15"/>
      <c r="D1226" s="15"/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</row>
    <row r="1227" ht="19.5" customHeight="1">
      <c r="A1227" s="15"/>
      <c r="B1227" s="15"/>
      <c r="C1227" s="15"/>
      <c r="D1227" s="15"/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</row>
    <row r="1228" ht="19.5" customHeight="1">
      <c r="A1228" s="15"/>
      <c r="B1228" s="15"/>
      <c r="C1228" s="15"/>
      <c r="D1228" s="15"/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</row>
    <row r="1229" ht="19.5" customHeight="1">
      <c r="A1229" s="15"/>
      <c r="B1229" s="15"/>
      <c r="C1229" s="15"/>
      <c r="D1229" s="15"/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</row>
    <row r="1230" ht="19.5" customHeight="1">
      <c r="A1230" s="15"/>
      <c r="B1230" s="15"/>
      <c r="C1230" s="15"/>
      <c r="D1230" s="15"/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</row>
    <row r="1231" ht="19.5" customHeight="1">
      <c r="A1231" s="15"/>
      <c r="B1231" s="15"/>
      <c r="C1231" s="15"/>
      <c r="D1231" s="15"/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</row>
    <row r="1232" ht="19.5" customHeight="1">
      <c r="A1232" s="15"/>
      <c r="B1232" s="15"/>
      <c r="C1232" s="15"/>
      <c r="D1232" s="15"/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</row>
    <row r="1233" ht="19.5" customHeight="1">
      <c r="A1233" s="15"/>
      <c r="B1233" s="15"/>
      <c r="C1233" s="15"/>
      <c r="D1233" s="15"/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</row>
    <row r="1234" ht="19.5" customHeight="1">
      <c r="A1234" s="15"/>
      <c r="B1234" s="15"/>
      <c r="C1234" s="15"/>
      <c r="D1234" s="15"/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</row>
    <row r="1235" ht="19.5" customHeight="1">
      <c r="A1235" s="15"/>
      <c r="B1235" s="15"/>
      <c r="C1235" s="15"/>
      <c r="D1235" s="15"/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  <c r="AD1235" s="15"/>
      <c r="AE1235" s="15"/>
    </row>
    <row r="1236" ht="19.5" customHeight="1">
      <c r="A1236" s="15"/>
      <c r="B1236" s="15"/>
      <c r="C1236" s="15"/>
      <c r="D1236" s="15"/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</row>
    <row r="1237" ht="19.5" customHeight="1">
      <c r="A1237" s="15"/>
      <c r="B1237" s="15"/>
      <c r="C1237" s="15"/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</row>
    <row r="1238" ht="19.5" customHeight="1">
      <c r="A1238" s="15"/>
      <c r="B1238" s="15"/>
      <c r="C1238" s="15"/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</row>
    <row r="1239" ht="19.5" customHeight="1">
      <c r="A1239" s="15"/>
      <c r="B1239" s="15"/>
      <c r="C1239" s="15"/>
      <c r="D1239" s="15"/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</row>
    <row r="1240" ht="19.5" customHeight="1">
      <c r="A1240" s="15"/>
      <c r="B1240" s="15"/>
      <c r="C1240" s="15"/>
      <c r="D1240" s="15"/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</row>
    <row r="1241" ht="19.5" customHeight="1">
      <c r="A1241" s="15"/>
      <c r="B1241" s="15"/>
      <c r="C1241" s="15"/>
      <c r="D1241" s="15"/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</row>
    <row r="1242" ht="19.5" customHeight="1">
      <c r="A1242" s="15"/>
      <c r="B1242" s="15"/>
      <c r="C1242" s="15"/>
      <c r="D1242" s="15"/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</row>
    <row r="1243" ht="19.5" customHeight="1">
      <c r="A1243" s="15"/>
      <c r="B1243" s="15"/>
      <c r="C1243" s="15"/>
      <c r="D1243" s="15"/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</row>
    <row r="1244" ht="19.5" customHeight="1">
      <c r="A1244" s="15"/>
      <c r="B1244" s="15"/>
      <c r="C1244" s="15"/>
      <c r="D1244" s="15"/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</row>
    <row r="1245" ht="19.5" customHeight="1">
      <c r="A1245" s="15"/>
      <c r="B1245" s="15"/>
      <c r="C1245" s="15"/>
      <c r="D1245" s="15"/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</row>
    <row r="1246" ht="19.5" customHeight="1">
      <c r="A1246" s="15"/>
      <c r="B1246" s="15"/>
      <c r="C1246" s="15"/>
      <c r="D1246" s="15"/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</row>
    <row r="1247" ht="19.5" customHeight="1">
      <c r="A1247" s="15"/>
      <c r="B1247" s="15"/>
      <c r="C1247" s="15"/>
      <c r="D1247" s="15"/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</row>
    <row r="1248" ht="19.5" customHeight="1">
      <c r="A1248" s="15"/>
      <c r="B1248" s="15"/>
      <c r="C1248" s="15"/>
      <c r="D1248" s="15"/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</row>
    <row r="1249" ht="19.5" customHeight="1">
      <c r="A1249" s="15"/>
      <c r="B1249" s="15"/>
      <c r="C1249" s="15"/>
      <c r="D1249" s="15"/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</row>
    <row r="1250" ht="19.5" customHeight="1">
      <c r="A1250" s="15"/>
      <c r="B1250" s="15"/>
      <c r="C1250" s="15"/>
      <c r="D1250" s="15"/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</row>
    <row r="1251" ht="19.5" customHeight="1">
      <c r="A1251" s="15"/>
      <c r="B1251" s="15"/>
      <c r="C1251" s="15"/>
      <c r="D1251" s="15"/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</row>
    <row r="1252" ht="19.5" customHeight="1">
      <c r="A1252" s="15"/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</row>
    <row r="1253" ht="19.5" customHeight="1">
      <c r="A1253" s="15"/>
      <c r="B1253" s="15"/>
      <c r="C1253" s="15"/>
      <c r="D1253" s="15"/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</row>
    <row r="1254" ht="19.5" customHeight="1">
      <c r="A1254" s="15"/>
      <c r="B1254" s="15"/>
      <c r="C1254" s="15"/>
      <c r="D1254" s="15"/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</row>
    <row r="1255" ht="19.5" customHeight="1">
      <c r="A1255" s="15"/>
      <c r="B1255" s="15"/>
      <c r="C1255" s="15"/>
      <c r="D1255" s="15"/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</row>
    <row r="1256" ht="19.5" customHeight="1">
      <c r="A1256" s="15"/>
      <c r="B1256" s="15"/>
      <c r="C1256" s="15"/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  <c r="Y1256" s="15"/>
      <c r="Z1256" s="15"/>
      <c r="AA1256" s="15"/>
      <c r="AB1256" s="15"/>
      <c r="AC1256" s="15"/>
      <c r="AD1256" s="15"/>
      <c r="AE1256" s="15"/>
    </row>
    <row r="1257" ht="19.5" customHeight="1">
      <c r="A1257" s="15"/>
      <c r="B1257" s="15"/>
      <c r="C1257" s="15"/>
      <c r="D1257" s="15"/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</row>
    <row r="1258" ht="19.5" customHeight="1">
      <c r="A1258" s="15"/>
      <c r="B1258" s="15"/>
      <c r="C1258" s="15"/>
      <c r="D1258" s="15"/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  <c r="AD1258" s="15"/>
      <c r="AE1258" s="15"/>
    </row>
    <row r="1259" ht="19.5" customHeight="1">
      <c r="A1259" s="15"/>
      <c r="B1259" s="15"/>
      <c r="C1259" s="15"/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  <c r="AD1259" s="15"/>
      <c r="AE1259" s="15"/>
    </row>
    <row r="1260" ht="19.5" customHeight="1">
      <c r="A1260" s="15"/>
      <c r="B1260" s="15"/>
      <c r="C1260" s="15"/>
      <c r="D1260" s="15"/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</row>
    <row r="1261" ht="19.5" customHeight="1">
      <c r="A1261" s="15"/>
      <c r="B1261" s="15"/>
      <c r="C1261" s="15"/>
      <c r="D1261" s="15"/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</row>
    <row r="1262" ht="19.5" customHeight="1">
      <c r="A1262" s="15"/>
      <c r="B1262" s="15"/>
      <c r="C1262" s="15"/>
      <c r="D1262" s="15"/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</row>
    <row r="1263" ht="19.5" customHeight="1">
      <c r="A1263" s="15"/>
      <c r="B1263" s="15"/>
      <c r="C1263" s="15"/>
      <c r="D1263" s="15"/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</row>
    <row r="1264" ht="19.5" customHeight="1">
      <c r="A1264" s="15"/>
      <c r="B1264" s="15"/>
      <c r="C1264" s="15"/>
      <c r="D1264" s="15"/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</row>
    <row r="1265" ht="19.5" customHeight="1">
      <c r="A1265" s="15"/>
      <c r="B1265" s="15"/>
      <c r="C1265" s="15"/>
      <c r="D1265" s="15"/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</row>
    <row r="1266" ht="19.5" customHeight="1">
      <c r="A1266" s="15"/>
      <c r="B1266" s="15"/>
      <c r="C1266" s="15"/>
      <c r="D1266" s="15"/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</row>
    <row r="1267" ht="19.5" customHeight="1">
      <c r="A1267" s="15"/>
      <c r="B1267" s="15"/>
      <c r="C1267" s="15"/>
      <c r="D1267" s="15"/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</row>
    <row r="1268" ht="19.5" customHeight="1">
      <c r="A1268" s="15"/>
      <c r="B1268" s="15"/>
      <c r="C1268" s="15"/>
      <c r="D1268" s="15"/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</row>
    <row r="1269" ht="19.5" customHeight="1">
      <c r="A1269" s="15"/>
      <c r="B1269" s="15"/>
      <c r="C1269" s="15"/>
      <c r="D1269" s="15"/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</row>
    <row r="1270" ht="19.5" customHeight="1">
      <c r="A1270" s="15"/>
      <c r="B1270" s="15"/>
      <c r="C1270" s="15"/>
      <c r="D1270" s="15"/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</row>
    <row r="1271" ht="19.5" customHeight="1">
      <c r="A1271" s="15"/>
      <c r="B1271" s="15"/>
      <c r="C1271" s="15"/>
      <c r="D1271" s="15"/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</row>
    <row r="1272" ht="19.5" customHeight="1">
      <c r="A1272" s="15"/>
      <c r="B1272" s="15"/>
      <c r="C1272" s="15"/>
      <c r="D1272" s="15"/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</row>
    <row r="1273" ht="19.5" customHeight="1">
      <c r="A1273" s="15"/>
      <c r="B1273" s="15"/>
      <c r="C1273" s="15"/>
      <c r="D1273" s="15"/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</row>
    <row r="1274" ht="19.5" customHeight="1">
      <c r="A1274" s="15"/>
      <c r="B1274" s="15"/>
      <c r="C1274" s="15"/>
      <c r="D1274" s="15"/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</row>
    <row r="1275" ht="19.5" customHeight="1">
      <c r="A1275" s="15"/>
      <c r="B1275" s="15"/>
      <c r="C1275" s="15"/>
      <c r="D1275" s="15"/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</row>
    <row r="1276" ht="19.5" customHeight="1">
      <c r="A1276" s="15"/>
      <c r="B1276" s="15"/>
      <c r="C1276" s="15"/>
      <c r="D1276" s="15"/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</row>
    <row r="1277" ht="19.5" customHeight="1">
      <c r="A1277" s="15"/>
      <c r="B1277" s="15"/>
      <c r="C1277" s="15"/>
      <c r="D1277" s="15"/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</row>
    <row r="1278" ht="19.5" customHeight="1">
      <c r="A1278" s="15"/>
      <c r="B1278" s="15"/>
      <c r="C1278" s="15"/>
      <c r="D1278" s="15"/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</row>
    <row r="1279" ht="19.5" customHeight="1">
      <c r="A1279" s="15"/>
      <c r="B1279" s="15"/>
      <c r="C1279" s="15"/>
      <c r="D1279" s="15"/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  <c r="Y1279" s="15"/>
      <c r="Z1279" s="15"/>
      <c r="AA1279" s="15"/>
      <c r="AB1279" s="15"/>
      <c r="AC1279" s="15"/>
      <c r="AD1279" s="15"/>
      <c r="AE1279" s="15"/>
    </row>
    <row r="1280" ht="19.5" customHeight="1">
      <c r="A1280" s="15"/>
      <c r="B1280" s="15"/>
      <c r="C1280" s="15"/>
      <c r="D1280" s="15"/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</row>
    <row r="1281" ht="19.5" customHeight="1">
      <c r="A1281" s="15"/>
      <c r="B1281" s="15"/>
      <c r="C1281" s="15"/>
      <c r="D1281" s="15"/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</row>
    <row r="1282" ht="19.5" customHeight="1">
      <c r="A1282" s="15"/>
      <c r="B1282" s="15"/>
      <c r="C1282" s="15"/>
      <c r="D1282" s="15"/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</row>
    <row r="1283" ht="19.5" customHeight="1">
      <c r="A1283" s="15"/>
      <c r="B1283" s="15"/>
      <c r="C1283" s="15"/>
      <c r="D1283" s="15"/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</row>
    <row r="1284" ht="19.5" customHeight="1">
      <c r="A1284" s="15"/>
      <c r="B1284" s="15"/>
      <c r="C1284" s="15"/>
      <c r="D1284" s="15"/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</row>
    <row r="1285" ht="19.5" customHeight="1">
      <c r="A1285" s="15"/>
      <c r="B1285" s="15"/>
      <c r="C1285" s="15"/>
      <c r="D1285" s="15"/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</row>
    <row r="1286" ht="19.5" customHeight="1">
      <c r="A1286" s="15"/>
      <c r="B1286" s="15"/>
      <c r="C1286" s="15"/>
      <c r="D1286" s="15"/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</row>
    <row r="1287" ht="19.5" customHeight="1">
      <c r="A1287" s="15"/>
      <c r="B1287" s="15"/>
      <c r="C1287" s="15"/>
      <c r="D1287" s="15"/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</row>
    <row r="1288" ht="19.5" customHeight="1">
      <c r="A1288" s="15"/>
      <c r="B1288" s="15"/>
      <c r="C1288" s="15"/>
      <c r="D1288" s="15"/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  <c r="AD1288" s="15"/>
      <c r="AE1288" s="15"/>
    </row>
    <row r="1289" ht="19.5" customHeight="1">
      <c r="A1289" s="15"/>
      <c r="B1289" s="15"/>
      <c r="C1289" s="15"/>
      <c r="D1289" s="15"/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</row>
    <row r="1290" ht="19.5" customHeight="1">
      <c r="A1290" s="15"/>
      <c r="B1290" s="15"/>
      <c r="C1290" s="15"/>
      <c r="D1290" s="15"/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</row>
    <row r="1291" ht="19.5" customHeight="1">
      <c r="A1291" s="15"/>
      <c r="B1291" s="15"/>
      <c r="C1291" s="15"/>
      <c r="D1291" s="15"/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</row>
    <row r="1292" ht="19.5" customHeight="1">
      <c r="A1292" s="15"/>
      <c r="B1292" s="15"/>
      <c r="C1292" s="15"/>
      <c r="D1292" s="15"/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  <c r="AD1292" s="15"/>
      <c r="AE1292" s="15"/>
    </row>
    <row r="1293" ht="19.5" customHeight="1">
      <c r="A1293" s="15"/>
      <c r="B1293" s="15"/>
      <c r="C1293" s="15"/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</row>
    <row r="1294" ht="19.5" customHeight="1">
      <c r="A1294" s="15"/>
      <c r="B1294" s="15"/>
      <c r="C1294" s="15"/>
      <c r="D1294" s="15"/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</row>
    <row r="1295" ht="19.5" customHeight="1">
      <c r="A1295" s="15"/>
      <c r="B1295" s="15"/>
      <c r="C1295" s="15"/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</row>
    <row r="1296" ht="19.5" customHeight="1">
      <c r="A1296" s="15"/>
      <c r="B1296" s="15"/>
      <c r="C1296" s="15"/>
      <c r="D1296" s="15"/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  <c r="AD1296" s="15"/>
      <c r="AE1296" s="15"/>
    </row>
    <row r="1297" ht="19.5" customHeight="1">
      <c r="A1297" s="15"/>
      <c r="B1297" s="15"/>
      <c r="C1297" s="15"/>
      <c r="D1297" s="15"/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</row>
    <row r="1298" ht="19.5" customHeight="1">
      <c r="A1298" s="15"/>
      <c r="B1298" s="15"/>
      <c r="C1298" s="15"/>
      <c r="D1298" s="15"/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</row>
    <row r="1299" ht="19.5" customHeight="1">
      <c r="A1299" s="15"/>
      <c r="B1299" s="15"/>
      <c r="C1299" s="15"/>
      <c r="D1299" s="15"/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</row>
    <row r="1300" ht="19.5" customHeight="1">
      <c r="A1300" s="15"/>
      <c r="B1300" s="15"/>
      <c r="C1300" s="15"/>
      <c r="D1300" s="15"/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</row>
    <row r="1301" ht="19.5" customHeight="1">
      <c r="A1301" s="15"/>
      <c r="B1301" s="15"/>
      <c r="C1301" s="15"/>
      <c r="D1301" s="15"/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</row>
    <row r="1302" ht="19.5" customHeight="1">
      <c r="A1302" s="15"/>
      <c r="B1302" s="15"/>
      <c r="C1302" s="15"/>
      <c r="D1302" s="15"/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</row>
    <row r="1303" ht="19.5" customHeight="1">
      <c r="A1303" s="15"/>
      <c r="B1303" s="15"/>
      <c r="C1303" s="15"/>
      <c r="D1303" s="15"/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</row>
    <row r="1304" ht="19.5" customHeight="1">
      <c r="A1304" s="15"/>
      <c r="B1304" s="15"/>
      <c r="C1304" s="15"/>
      <c r="D1304" s="15"/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</row>
    <row r="1305" ht="19.5" customHeight="1">
      <c r="A1305" s="15"/>
      <c r="B1305" s="15"/>
      <c r="C1305" s="15"/>
      <c r="D1305" s="15"/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</row>
    <row r="1306" ht="19.5" customHeight="1">
      <c r="A1306" s="15"/>
      <c r="B1306" s="15"/>
      <c r="C1306" s="15"/>
      <c r="D1306" s="15"/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</row>
    <row r="1307" ht="19.5" customHeight="1">
      <c r="A1307" s="15"/>
      <c r="B1307" s="15"/>
      <c r="C1307" s="15"/>
      <c r="D1307" s="15"/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</row>
    <row r="1308" ht="19.5" customHeight="1">
      <c r="A1308" s="15"/>
      <c r="B1308" s="15"/>
      <c r="C1308" s="15"/>
      <c r="D1308" s="15"/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/>
    </row>
    <row r="1309" ht="19.5" customHeight="1">
      <c r="A1309" s="15"/>
      <c r="B1309" s="15"/>
      <c r="C1309" s="15"/>
      <c r="D1309" s="15"/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</row>
    <row r="1310" ht="19.5" customHeight="1">
      <c r="A1310" s="15"/>
      <c r="B1310" s="15"/>
      <c r="C1310" s="15"/>
      <c r="D1310" s="15"/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</row>
    <row r="1311" ht="19.5" customHeight="1">
      <c r="A1311" s="15"/>
      <c r="B1311" s="15"/>
      <c r="C1311" s="15"/>
      <c r="D1311" s="15"/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</row>
    <row r="1312" ht="19.5" customHeight="1">
      <c r="A1312" s="15"/>
      <c r="B1312" s="15"/>
      <c r="C1312" s="15"/>
      <c r="D1312" s="15"/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</row>
    <row r="1313" ht="19.5" customHeight="1">
      <c r="A1313" s="15"/>
      <c r="B1313" s="15"/>
      <c r="C1313" s="15"/>
      <c r="D1313" s="15"/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</row>
    <row r="1314" ht="19.5" customHeight="1">
      <c r="A1314" s="15"/>
      <c r="B1314" s="15"/>
      <c r="C1314" s="15"/>
      <c r="D1314" s="15"/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</row>
    <row r="1315" ht="19.5" customHeight="1">
      <c r="A1315" s="15"/>
      <c r="B1315" s="15"/>
      <c r="C1315" s="15"/>
      <c r="D1315" s="15"/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</row>
    <row r="1316" ht="19.5" customHeight="1">
      <c r="A1316" s="15"/>
      <c r="B1316" s="15"/>
      <c r="C1316" s="15"/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</row>
    <row r="1317" ht="19.5" customHeight="1">
      <c r="A1317" s="15"/>
      <c r="B1317" s="15"/>
      <c r="C1317" s="15"/>
      <c r="D1317" s="15"/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</row>
    <row r="1318" ht="19.5" customHeight="1">
      <c r="A1318" s="15"/>
      <c r="B1318" s="15"/>
      <c r="C1318" s="15"/>
      <c r="D1318" s="15"/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</row>
    <row r="1319" ht="19.5" customHeight="1">
      <c r="A1319" s="15"/>
      <c r="B1319" s="15"/>
      <c r="C1319" s="15"/>
      <c r="D1319" s="15"/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</row>
    <row r="1320" ht="19.5" customHeight="1">
      <c r="A1320" s="15"/>
      <c r="B1320" s="15"/>
      <c r="C1320" s="15"/>
      <c r="D1320" s="15"/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</row>
    <row r="1321" ht="19.5" customHeight="1">
      <c r="A1321" s="15"/>
      <c r="B1321" s="15"/>
      <c r="C1321" s="15"/>
      <c r="D1321" s="15"/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</row>
    <row r="1322" ht="19.5" customHeight="1">
      <c r="A1322" s="15"/>
      <c r="B1322" s="15"/>
      <c r="C1322" s="15"/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</row>
    <row r="1323" ht="19.5" customHeight="1">
      <c r="A1323" s="15"/>
      <c r="B1323" s="15"/>
      <c r="C1323" s="15"/>
      <c r="D1323" s="15"/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</row>
    <row r="1324" ht="19.5" customHeight="1">
      <c r="A1324" s="15"/>
      <c r="B1324" s="15"/>
      <c r="C1324" s="15"/>
      <c r="D1324" s="15"/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</row>
    <row r="1325" ht="19.5" customHeight="1">
      <c r="A1325" s="15"/>
      <c r="B1325" s="15"/>
      <c r="C1325" s="15"/>
      <c r="D1325" s="15"/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</row>
    <row r="1326" ht="19.5" customHeight="1">
      <c r="A1326" s="15"/>
      <c r="B1326" s="15"/>
      <c r="C1326" s="15"/>
      <c r="D1326" s="15"/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</row>
    <row r="1327" ht="19.5" customHeight="1">
      <c r="A1327" s="15"/>
      <c r="B1327" s="15"/>
      <c r="C1327" s="15"/>
      <c r="D1327" s="15"/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</row>
    <row r="1328" ht="19.5" customHeight="1">
      <c r="A1328" s="15"/>
      <c r="B1328" s="15"/>
      <c r="C1328" s="15"/>
      <c r="D1328" s="15"/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</row>
    <row r="1329" ht="19.5" customHeight="1">
      <c r="A1329" s="15"/>
      <c r="B1329" s="15"/>
      <c r="C1329" s="15"/>
      <c r="D1329" s="15"/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</row>
    <row r="1330" ht="19.5" customHeight="1">
      <c r="A1330" s="15"/>
      <c r="B1330" s="15"/>
      <c r="C1330" s="15"/>
      <c r="D1330" s="15"/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</row>
    <row r="1331" ht="19.5" customHeight="1">
      <c r="A1331" s="15"/>
      <c r="B1331" s="15"/>
      <c r="C1331" s="15"/>
      <c r="D1331" s="15"/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</row>
    <row r="1332" ht="19.5" customHeight="1">
      <c r="A1332" s="15"/>
      <c r="B1332" s="15"/>
      <c r="C1332" s="15"/>
      <c r="D1332" s="15"/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</row>
    <row r="1333" ht="19.5" customHeight="1">
      <c r="A1333" s="15"/>
      <c r="B1333" s="15"/>
      <c r="C1333" s="15"/>
      <c r="D1333" s="15"/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</row>
    <row r="1334" ht="19.5" customHeight="1">
      <c r="A1334" s="15"/>
      <c r="B1334" s="15"/>
      <c r="C1334" s="15"/>
      <c r="D1334" s="15"/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</row>
    <row r="1335" ht="19.5" customHeight="1">
      <c r="A1335" s="15"/>
      <c r="B1335" s="15"/>
      <c r="C1335" s="15"/>
      <c r="D1335" s="15"/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</row>
    <row r="1336" ht="19.5" customHeight="1">
      <c r="A1336" s="15"/>
      <c r="B1336" s="15"/>
      <c r="C1336" s="15"/>
      <c r="D1336" s="15"/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</row>
    <row r="1337" ht="19.5" customHeight="1">
      <c r="A1337" s="15"/>
      <c r="B1337" s="15"/>
      <c r="C1337" s="15"/>
      <c r="D1337" s="15"/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</row>
    <row r="1338" ht="19.5" customHeight="1">
      <c r="A1338" s="15"/>
      <c r="B1338" s="15"/>
      <c r="C1338" s="15"/>
      <c r="D1338" s="15"/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</row>
    <row r="1339" ht="19.5" customHeight="1">
      <c r="A1339" s="15"/>
      <c r="B1339" s="15"/>
      <c r="C1339" s="15"/>
      <c r="D1339" s="15"/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</row>
    <row r="1340" ht="19.5" customHeight="1">
      <c r="A1340" s="15"/>
      <c r="B1340" s="15"/>
      <c r="C1340" s="15"/>
      <c r="D1340" s="15"/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</row>
    <row r="1341" ht="19.5" customHeight="1">
      <c r="A1341" s="15"/>
      <c r="B1341" s="15"/>
      <c r="C1341" s="15"/>
      <c r="D1341" s="15"/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</row>
    <row r="1342" ht="19.5" customHeight="1">
      <c r="A1342" s="15"/>
      <c r="B1342" s="15"/>
      <c r="C1342" s="15"/>
      <c r="D1342" s="15"/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</row>
    <row r="1343" ht="19.5" customHeight="1">
      <c r="A1343" s="15"/>
      <c r="B1343" s="15"/>
      <c r="C1343" s="15"/>
      <c r="D1343" s="15"/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</row>
    <row r="1344" ht="19.5" customHeight="1">
      <c r="A1344" s="15"/>
      <c r="B1344" s="15"/>
      <c r="C1344" s="15"/>
      <c r="D1344" s="15"/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</row>
    <row r="1345" ht="19.5" customHeight="1">
      <c r="A1345" s="15"/>
      <c r="B1345" s="15"/>
      <c r="C1345" s="15"/>
      <c r="D1345" s="15"/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</row>
    <row r="1346" ht="19.5" customHeight="1">
      <c r="A1346" s="15"/>
      <c r="B1346" s="15"/>
      <c r="C1346" s="15"/>
      <c r="D1346" s="15"/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</row>
    <row r="1347" ht="19.5" customHeight="1">
      <c r="A1347" s="15"/>
      <c r="B1347" s="15"/>
      <c r="C1347" s="15"/>
      <c r="D1347" s="15"/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</row>
    <row r="1348" ht="19.5" customHeight="1">
      <c r="A1348" s="15"/>
      <c r="B1348" s="15"/>
      <c r="C1348" s="15"/>
      <c r="D1348" s="15"/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</row>
    <row r="1349" ht="19.5" customHeight="1">
      <c r="A1349" s="15"/>
      <c r="B1349" s="15"/>
      <c r="C1349" s="15"/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</row>
    <row r="1350" ht="19.5" customHeight="1">
      <c r="A1350" s="15"/>
      <c r="B1350" s="15"/>
      <c r="C1350" s="15"/>
      <c r="D1350" s="15"/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</row>
    <row r="1351" ht="19.5" customHeight="1">
      <c r="A1351" s="15"/>
      <c r="B1351" s="15"/>
      <c r="C1351" s="15"/>
      <c r="D1351" s="15"/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</row>
    <row r="1352" ht="19.5" customHeight="1">
      <c r="A1352" s="15"/>
      <c r="B1352" s="15"/>
      <c r="C1352" s="15"/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</row>
    <row r="1353" ht="19.5" customHeight="1">
      <c r="A1353" s="15"/>
      <c r="B1353" s="15"/>
      <c r="C1353" s="15"/>
      <c r="D1353" s="15"/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  <c r="AD1353" s="15"/>
      <c r="AE1353" s="15"/>
    </row>
    <row r="1354" ht="19.5" customHeight="1">
      <c r="A1354" s="15"/>
      <c r="B1354" s="15"/>
      <c r="C1354" s="15"/>
      <c r="D1354" s="15"/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</row>
    <row r="1355" ht="19.5" customHeight="1">
      <c r="A1355" s="15"/>
      <c r="B1355" s="15"/>
      <c r="C1355" s="15"/>
      <c r="D1355" s="15"/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</row>
    <row r="1356" ht="19.5" customHeight="1">
      <c r="A1356" s="15"/>
      <c r="B1356" s="15"/>
      <c r="C1356" s="15"/>
      <c r="D1356" s="15"/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</row>
    <row r="1357" ht="19.5" customHeight="1">
      <c r="A1357" s="15"/>
      <c r="B1357" s="15"/>
      <c r="C1357" s="15"/>
      <c r="D1357" s="15"/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</row>
    <row r="1358" ht="19.5" customHeight="1">
      <c r="A1358" s="15"/>
      <c r="B1358" s="15"/>
      <c r="C1358" s="15"/>
      <c r="D1358" s="15"/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</row>
    <row r="1359" ht="19.5" customHeight="1">
      <c r="A1359" s="15"/>
      <c r="B1359" s="15"/>
      <c r="C1359" s="15"/>
      <c r="D1359" s="15"/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</row>
    <row r="1360" ht="19.5" customHeight="1">
      <c r="A1360" s="15"/>
      <c r="B1360" s="15"/>
      <c r="C1360" s="15"/>
      <c r="D1360" s="15"/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</row>
    <row r="1361" ht="19.5" customHeight="1">
      <c r="A1361" s="15"/>
      <c r="B1361" s="15"/>
      <c r="C1361" s="15"/>
      <c r="D1361" s="15"/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</row>
    <row r="1362" ht="19.5" customHeight="1">
      <c r="A1362" s="15"/>
      <c r="B1362" s="15"/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</row>
    <row r="1363" ht="19.5" customHeight="1">
      <c r="A1363" s="15"/>
      <c r="B1363" s="15"/>
      <c r="C1363" s="15"/>
      <c r="D1363" s="15"/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</row>
    <row r="1364" ht="19.5" customHeight="1">
      <c r="A1364" s="15"/>
      <c r="B1364" s="15"/>
      <c r="C1364" s="15"/>
      <c r="D1364" s="15"/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</row>
    <row r="1365" ht="19.5" customHeight="1">
      <c r="A1365" s="15"/>
      <c r="B1365" s="15"/>
      <c r="C1365" s="15"/>
      <c r="D1365" s="15"/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</row>
    <row r="1366" ht="19.5" customHeight="1">
      <c r="A1366" s="15"/>
      <c r="B1366" s="15"/>
      <c r="C1366" s="15"/>
      <c r="D1366" s="15"/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</row>
    <row r="1367" ht="19.5" customHeight="1">
      <c r="A1367" s="15"/>
      <c r="B1367" s="15"/>
      <c r="C1367" s="15"/>
      <c r="D1367" s="15"/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</row>
    <row r="1368" ht="19.5" customHeight="1">
      <c r="A1368" s="15"/>
      <c r="B1368" s="15"/>
      <c r="C1368" s="15"/>
      <c r="D1368" s="15"/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</row>
    <row r="1369" ht="19.5" customHeight="1">
      <c r="A1369" s="15"/>
      <c r="B1369" s="15"/>
      <c r="C1369" s="15"/>
      <c r="D1369" s="15"/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</row>
    <row r="1370" ht="19.5" customHeight="1">
      <c r="A1370" s="15"/>
      <c r="B1370" s="15"/>
      <c r="C1370" s="15"/>
      <c r="D1370" s="15"/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</row>
    <row r="1371" ht="19.5" customHeight="1">
      <c r="A1371" s="15"/>
      <c r="B1371" s="15"/>
      <c r="C1371" s="15"/>
      <c r="D1371" s="15"/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</row>
    <row r="1372" ht="19.5" customHeight="1">
      <c r="A1372" s="15"/>
      <c r="B1372" s="15"/>
      <c r="C1372" s="15"/>
      <c r="D1372" s="15"/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</row>
    <row r="1373" ht="19.5" customHeight="1">
      <c r="A1373" s="15"/>
      <c r="B1373" s="15"/>
      <c r="C1373" s="15"/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</row>
    <row r="1374" ht="19.5" customHeight="1">
      <c r="A1374" s="15"/>
      <c r="B1374" s="15"/>
      <c r="C1374" s="15"/>
      <c r="D1374" s="15"/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</row>
    <row r="1375" ht="19.5" customHeight="1">
      <c r="A1375" s="15"/>
      <c r="B1375" s="15"/>
      <c r="C1375" s="15"/>
      <c r="D1375" s="15"/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</row>
    <row r="1376" ht="19.5" customHeight="1">
      <c r="A1376" s="15"/>
      <c r="B1376" s="15"/>
      <c r="C1376" s="15"/>
      <c r="D1376" s="15"/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</row>
    <row r="1377" ht="19.5" customHeight="1">
      <c r="A1377" s="15"/>
      <c r="B1377" s="15"/>
      <c r="C1377" s="15"/>
      <c r="D1377" s="15"/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</row>
    <row r="1378" ht="19.5" customHeight="1">
      <c r="A1378" s="15"/>
      <c r="B1378" s="15"/>
      <c r="C1378" s="15"/>
      <c r="D1378" s="15"/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</row>
    <row r="1379" ht="19.5" customHeight="1">
      <c r="A1379" s="15"/>
      <c r="B1379" s="15"/>
      <c r="C1379" s="15"/>
      <c r="D1379" s="15"/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</row>
    <row r="1380" ht="19.5" customHeight="1">
      <c r="A1380" s="15"/>
      <c r="B1380" s="15"/>
      <c r="C1380" s="15"/>
      <c r="D1380" s="15"/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</row>
    <row r="1381" ht="19.5" customHeight="1">
      <c r="A1381" s="15"/>
      <c r="B1381" s="15"/>
      <c r="C1381" s="15"/>
      <c r="D1381" s="15"/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</row>
    <row r="1382" ht="19.5" customHeight="1">
      <c r="A1382" s="15"/>
      <c r="B1382" s="15"/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</row>
    <row r="1383" ht="19.5" customHeight="1">
      <c r="A1383" s="15"/>
      <c r="B1383" s="15"/>
      <c r="C1383" s="15"/>
      <c r="D1383" s="15"/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</row>
    <row r="1384" ht="19.5" customHeight="1">
      <c r="A1384" s="15"/>
      <c r="B1384" s="15"/>
      <c r="C1384" s="15"/>
      <c r="D1384" s="15"/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</row>
    <row r="1385" ht="19.5" customHeight="1">
      <c r="A1385" s="15"/>
      <c r="B1385" s="15"/>
      <c r="C1385" s="15"/>
      <c r="D1385" s="15"/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</row>
    <row r="1386" ht="19.5" customHeight="1">
      <c r="A1386" s="15"/>
      <c r="B1386" s="15"/>
      <c r="C1386" s="15"/>
      <c r="D1386" s="15"/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  <c r="AD1386" s="15"/>
      <c r="AE1386" s="15"/>
    </row>
    <row r="1387" ht="19.5" customHeight="1">
      <c r="A1387" s="15"/>
      <c r="B1387" s="15"/>
      <c r="C1387" s="15"/>
      <c r="D1387" s="15"/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</row>
    <row r="1388" ht="19.5" customHeight="1">
      <c r="A1388" s="15"/>
      <c r="B1388" s="15"/>
      <c r="C1388" s="15"/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</row>
    <row r="1389" ht="19.5" customHeight="1">
      <c r="A1389" s="15"/>
      <c r="B1389" s="15"/>
      <c r="C1389" s="15"/>
      <c r="D1389" s="15"/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  <c r="AD1389" s="15"/>
      <c r="AE1389" s="15"/>
    </row>
    <row r="1390" ht="19.5" customHeight="1">
      <c r="A1390" s="15"/>
      <c r="B1390" s="15"/>
      <c r="C1390" s="15"/>
      <c r="D1390" s="15"/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</row>
    <row r="1391" ht="19.5" customHeight="1">
      <c r="A1391" s="15"/>
      <c r="B1391" s="15"/>
      <c r="C1391" s="15"/>
      <c r="D1391" s="15"/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</row>
    <row r="1392" ht="19.5" customHeight="1">
      <c r="A1392" s="15"/>
      <c r="B1392" s="15"/>
      <c r="C1392" s="15"/>
      <c r="D1392" s="15"/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</row>
    <row r="1393" ht="19.5" customHeight="1">
      <c r="A1393" s="15"/>
      <c r="B1393" s="15"/>
      <c r="C1393" s="15"/>
      <c r="D1393" s="15"/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</row>
    <row r="1394" ht="19.5" customHeight="1">
      <c r="A1394" s="15"/>
      <c r="B1394" s="15"/>
      <c r="C1394" s="15"/>
      <c r="D1394" s="15"/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</row>
    <row r="1395" ht="19.5" customHeight="1">
      <c r="A1395" s="15"/>
      <c r="B1395" s="15"/>
      <c r="C1395" s="15"/>
      <c r="D1395" s="15"/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  <c r="AD1395" s="15"/>
      <c r="AE1395" s="15"/>
    </row>
    <row r="1396" ht="19.5" customHeight="1">
      <c r="A1396" s="15"/>
      <c r="B1396" s="15"/>
      <c r="C1396" s="15"/>
      <c r="D1396" s="15"/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</row>
    <row r="1397" ht="19.5" customHeight="1">
      <c r="A1397" s="15"/>
      <c r="B1397" s="15"/>
      <c r="C1397" s="15"/>
      <c r="D1397" s="15"/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</row>
    <row r="1398" ht="19.5" customHeight="1">
      <c r="A1398" s="15"/>
      <c r="B1398" s="15"/>
      <c r="C1398" s="15"/>
      <c r="D1398" s="15"/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</row>
    <row r="1399" ht="19.5" customHeight="1">
      <c r="A1399" s="15"/>
      <c r="B1399" s="15"/>
      <c r="C1399" s="15"/>
      <c r="D1399" s="15"/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</row>
    <row r="1400" ht="19.5" customHeight="1">
      <c r="A1400" s="15"/>
      <c r="B1400" s="15"/>
      <c r="C1400" s="15"/>
      <c r="D1400" s="15"/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  <c r="AD1400" s="15"/>
      <c r="AE1400" s="15"/>
    </row>
    <row r="1401" ht="19.5" customHeight="1">
      <c r="A1401" s="15"/>
      <c r="B1401" s="15"/>
      <c r="C1401" s="15"/>
      <c r="D1401" s="15"/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  <c r="AD1401" s="15"/>
      <c r="AE1401" s="15"/>
    </row>
    <row r="1402" ht="19.5" customHeight="1">
      <c r="A1402" s="15"/>
      <c r="B1402" s="15"/>
      <c r="C1402" s="15"/>
      <c r="D1402" s="15"/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</row>
    <row r="1403" ht="19.5" customHeight="1">
      <c r="A1403" s="15"/>
      <c r="B1403" s="15"/>
      <c r="C1403" s="15"/>
      <c r="D1403" s="15"/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  <c r="AD1403" s="15"/>
      <c r="AE1403" s="15"/>
    </row>
    <row r="1404" ht="19.5" customHeight="1">
      <c r="A1404" s="15"/>
      <c r="B1404" s="15"/>
      <c r="C1404" s="15"/>
      <c r="D1404" s="15"/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</row>
    <row r="1405" ht="19.5" customHeight="1">
      <c r="A1405" s="15"/>
      <c r="B1405" s="15"/>
      <c r="C1405" s="15"/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</row>
    <row r="1406" ht="19.5" customHeight="1">
      <c r="A1406" s="15"/>
      <c r="B1406" s="15"/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</row>
    <row r="1407" ht="19.5" customHeight="1">
      <c r="A1407" s="15"/>
      <c r="B1407" s="15"/>
      <c r="C1407" s="15"/>
      <c r="D1407" s="15"/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</row>
    <row r="1408" ht="19.5" customHeight="1">
      <c r="A1408" s="15"/>
      <c r="B1408" s="15"/>
      <c r="C1408" s="15"/>
      <c r="D1408" s="15"/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</row>
    <row r="1409" ht="19.5" customHeight="1">
      <c r="A1409" s="15"/>
      <c r="B1409" s="15"/>
      <c r="C1409" s="15"/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</row>
    <row r="1410" ht="19.5" customHeight="1">
      <c r="A1410" s="15"/>
      <c r="B1410" s="15"/>
      <c r="C1410" s="15"/>
      <c r="D1410" s="15"/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</row>
    <row r="1411" ht="19.5" customHeight="1">
      <c r="A1411" s="15"/>
      <c r="B1411" s="15"/>
      <c r="C1411" s="15"/>
      <c r="D1411" s="15"/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  <c r="AD1411" s="15"/>
      <c r="AE1411" s="15"/>
    </row>
    <row r="1412" ht="19.5" customHeight="1">
      <c r="A1412" s="15"/>
      <c r="B1412" s="15"/>
      <c r="C1412" s="15"/>
      <c r="D1412" s="15"/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</row>
    <row r="1413" ht="19.5" customHeight="1">
      <c r="A1413" s="15"/>
      <c r="B1413" s="15"/>
      <c r="C1413" s="15"/>
      <c r="D1413" s="15"/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</row>
    <row r="1414" ht="19.5" customHeight="1">
      <c r="A1414" s="15"/>
      <c r="B1414" s="15"/>
      <c r="C1414" s="15"/>
      <c r="D1414" s="15"/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</row>
    <row r="1415" ht="19.5" customHeight="1">
      <c r="A1415" s="15"/>
      <c r="B1415" s="15"/>
      <c r="C1415" s="15"/>
      <c r="D1415" s="15"/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</row>
    <row r="1416" ht="19.5" customHeight="1">
      <c r="A1416" s="15"/>
      <c r="B1416" s="15"/>
      <c r="C1416" s="15"/>
      <c r="D1416" s="15"/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  <c r="AD1416" s="15"/>
      <c r="AE1416" s="15"/>
    </row>
    <row r="1417" ht="19.5" customHeight="1">
      <c r="A1417" s="15"/>
      <c r="B1417" s="15"/>
      <c r="C1417" s="15"/>
      <c r="D1417" s="15"/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  <c r="AD1417" s="15"/>
      <c r="AE1417" s="15"/>
    </row>
    <row r="1418" ht="19.5" customHeight="1">
      <c r="A1418" s="15"/>
      <c r="B1418" s="15"/>
      <c r="C1418" s="15"/>
      <c r="D1418" s="15"/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</row>
    <row r="1419" ht="19.5" customHeight="1">
      <c r="A1419" s="15"/>
      <c r="B1419" s="15"/>
      <c r="C1419" s="15"/>
      <c r="D1419" s="15"/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</row>
    <row r="1420" ht="19.5" customHeight="1">
      <c r="A1420" s="15"/>
      <c r="B1420" s="15"/>
      <c r="C1420" s="15"/>
      <c r="D1420" s="15"/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</row>
    <row r="1421" ht="19.5" customHeight="1">
      <c r="A1421" s="15"/>
      <c r="B1421" s="15"/>
      <c r="C1421" s="15"/>
      <c r="D1421" s="15"/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</row>
    <row r="1422" ht="19.5" customHeight="1">
      <c r="A1422" s="15"/>
      <c r="B1422" s="15"/>
      <c r="C1422" s="15"/>
      <c r="D1422" s="15"/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</row>
    <row r="1423" ht="19.5" customHeight="1">
      <c r="A1423" s="15"/>
      <c r="B1423" s="15"/>
      <c r="C1423" s="15"/>
      <c r="D1423" s="15"/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  <c r="Y1423" s="15"/>
      <c r="Z1423" s="15"/>
      <c r="AA1423" s="15"/>
      <c r="AB1423" s="15"/>
      <c r="AC1423" s="15"/>
      <c r="AD1423" s="15"/>
      <c r="AE1423" s="15"/>
    </row>
    <row r="1424" ht="19.5" customHeight="1">
      <c r="A1424" s="15"/>
      <c r="B1424" s="15"/>
      <c r="C1424" s="15"/>
      <c r="D1424" s="15"/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</row>
    <row r="1425" ht="19.5" customHeight="1">
      <c r="A1425" s="15"/>
      <c r="B1425" s="15"/>
      <c r="C1425" s="15"/>
      <c r="D1425" s="15"/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  <c r="Y1425" s="15"/>
      <c r="Z1425" s="15"/>
      <c r="AA1425" s="15"/>
      <c r="AB1425" s="15"/>
      <c r="AC1425" s="15"/>
      <c r="AD1425" s="15"/>
      <c r="AE1425" s="15"/>
    </row>
    <row r="1426" ht="19.5" customHeight="1">
      <c r="A1426" s="15"/>
      <c r="B1426" s="15"/>
      <c r="C1426" s="15"/>
      <c r="D1426" s="15"/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  <c r="AD1426" s="15"/>
      <c r="AE1426" s="15"/>
    </row>
    <row r="1427" ht="19.5" customHeight="1">
      <c r="A1427" s="15"/>
      <c r="B1427" s="15"/>
      <c r="C1427" s="15"/>
      <c r="D1427" s="15"/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  <c r="Y1427" s="15"/>
      <c r="Z1427" s="15"/>
      <c r="AA1427" s="15"/>
      <c r="AB1427" s="15"/>
      <c r="AC1427" s="15"/>
      <c r="AD1427" s="15"/>
      <c r="AE1427" s="15"/>
    </row>
    <row r="1428" ht="19.5" customHeight="1">
      <c r="A1428" s="15"/>
      <c r="B1428" s="15"/>
      <c r="C1428" s="15"/>
      <c r="D1428" s="15"/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  <c r="Y1428" s="15"/>
      <c r="Z1428" s="15"/>
      <c r="AA1428" s="15"/>
      <c r="AB1428" s="15"/>
      <c r="AC1428" s="15"/>
      <c r="AD1428" s="15"/>
      <c r="AE1428" s="15"/>
    </row>
    <row r="1429" ht="19.5" customHeight="1">
      <c r="A1429" s="15"/>
      <c r="B1429" s="15"/>
      <c r="C1429" s="15"/>
      <c r="D1429" s="15"/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</row>
    <row r="1430" ht="19.5" customHeight="1">
      <c r="A1430" s="15"/>
      <c r="B1430" s="15"/>
      <c r="C1430" s="15"/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</row>
    <row r="1431" ht="19.5" customHeight="1">
      <c r="A1431" s="15"/>
      <c r="B1431" s="15"/>
      <c r="C1431" s="15"/>
      <c r="D1431" s="15"/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</row>
    <row r="1432" ht="19.5" customHeight="1">
      <c r="A1432" s="15"/>
      <c r="B1432" s="15"/>
      <c r="C1432" s="15"/>
      <c r="D1432" s="15"/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</row>
    <row r="1433" ht="19.5" customHeight="1">
      <c r="A1433" s="15"/>
      <c r="B1433" s="15"/>
      <c r="C1433" s="15"/>
      <c r="D1433" s="15"/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</row>
    <row r="1434" ht="19.5" customHeight="1">
      <c r="A1434" s="15"/>
      <c r="B1434" s="15"/>
      <c r="C1434" s="15"/>
      <c r="D1434" s="15"/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</row>
    <row r="1435" ht="19.5" customHeight="1">
      <c r="A1435" s="15"/>
      <c r="B1435" s="15"/>
      <c r="C1435" s="15"/>
      <c r="D1435" s="15"/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</row>
    <row r="1436" ht="19.5" customHeight="1">
      <c r="A1436" s="15"/>
      <c r="B1436" s="15"/>
      <c r="C1436" s="15"/>
      <c r="D1436" s="15"/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</row>
    <row r="1437" ht="19.5" customHeight="1">
      <c r="A1437" s="15"/>
      <c r="B1437" s="15"/>
      <c r="C1437" s="15"/>
      <c r="D1437" s="15"/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</row>
    <row r="1438" ht="19.5" customHeight="1">
      <c r="A1438" s="15"/>
      <c r="B1438" s="15"/>
      <c r="C1438" s="15"/>
      <c r="D1438" s="15"/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</row>
    <row r="1439" ht="19.5" customHeight="1">
      <c r="A1439" s="15"/>
      <c r="B1439" s="15"/>
      <c r="C1439" s="15"/>
      <c r="D1439" s="15"/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</row>
    <row r="1440" ht="19.5" customHeight="1">
      <c r="A1440" s="15"/>
      <c r="B1440" s="15"/>
      <c r="C1440" s="15"/>
      <c r="D1440" s="15"/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</row>
    <row r="1441" ht="19.5" customHeight="1">
      <c r="A1441" s="15"/>
      <c r="B1441" s="15"/>
      <c r="C1441" s="15"/>
      <c r="D1441" s="15"/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</row>
    <row r="1442" ht="19.5" customHeight="1">
      <c r="A1442" s="15"/>
      <c r="B1442" s="15"/>
      <c r="C1442" s="15"/>
      <c r="D1442" s="15"/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</row>
    <row r="1443" ht="19.5" customHeight="1">
      <c r="A1443" s="15"/>
      <c r="B1443" s="15"/>
      <c r="C1443" s="15"/>
      <c r="D1443" s="15"/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</row>
    <row r="1444" ht="19.5" customHeight="1">
      <c r="A1444" s="15"/>
      <c r="B1444" s="15"/>
      <c r="C1444" s="15"/>
      <c r="D1444" s="15"/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  <c r="AD1444" s="15"/>
      <c r="AE1444" s="15"/>
    </row>
    <row r="1445" ht="19.5" customHeight="1">
      <c r="A1445" s="15"/>
      <c r="B1445" s="15"/>
      <c r="C1445" s="15"/>
      <c r="D1445" s="15"/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</row>
    <row r="1446" ht="19.5" customHeight="1">
      <c r="A1446" s="15"/>
      <c r="B1446" s="15"/>
      <c r="C1446" s="15"/>
      <c r="D1446" s="15"/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</row>
    <row r="1447" ht="19.5" customHeight="1">
      <c r="A1447" s="15"/>
      <c r="B1447" s="15"/>
      <c r="C1447" s="15"/>
      <c r="D1447" s="15"/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</row>
    <row r="1448" ht="19.5" customHeight="1">
      <c r="A1448" s="15"/>
      <c r="B1448" s="15"/>
      <c r="C1448" s="15"/>
      <c r="D1448" s="15"/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  <c r="AA1448" s="15"/>
      <c r="AB1448" s="15"/>
      <c r="AC1448" s="15"/>
      <c r="AD1448" s="15"/>
      <c r="AE1448" s="15"/>
    </row>
    <row r="1449" ht="19.5" customHeight="1">
      <c r="A1449" s="15"/>
      <c r="B1449" s="15"/>
      <c r="C1449" s="15"/>
      <c r="D1449" s="15"/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</row>
    <row r="1450" ht="19.5" customHeight="1">
      <c r="A1450" s="15"/>
      <c r="B1450" s="15"/>
      <c r="C1450" s="15"/>
      <c r="D1450" s="15"/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</row>
    <row r="1451" ht="19.5" customHeight="1">
      <c r="A1451" s="15"/>
      <c r="B1451" s="15"/>
      <c r="C1451" s="15"/>
      <c r="D1451" s="15"/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</row>
    <row r="1452" ht="19.5" customHeight="1">
      <c r="A1452" s="15"/>
      <c r="B1452" s="15"/>
      <c r="C1452" s="15"/>
      <c r="D1452" s="15"/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</row>
    <row r="1453" ht="19.5" customHeight="1">
      <c r="A1453" s="15"/>
      <c r="B1453" s="15"/>
      <c r="C1453" s="15"/>
      <c r="D1453" s="15"/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</row>
    <row r="1454" ht="19.5" customHeight="1">
      <c r="A1454" s="15"/>
      <c r="B1454" s="15"/>
      <c r="C1454" s="15"/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</row>
    <row r="1455" ht="19.5" customHeight="1">
      <c r="A1455" s="15"/>
      <c r="B1455" s="15"/>
      <c r="C1455" s="15"/>
      <c r="D1455" s="15"/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</row>
    <row r="1456" ht="19.5" customHeight="1">
      <c r="A1456" s="15"/>
      <c r="B1456" s="15"/>
      <c r="C1456" s="15"/>
      <c r="D1456" s="15"/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</row>
    <row r="1457" ht="19.5" customHeight="1">
      <c r="A1457" s="15"/>
      <c r="B1457" s="15"/>
      <c r="C1457" s="15"/>
      <c r="D1457" s="15"/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</row>
    <row r="1458" ht="19.5" customHeight="1">
      <c r="A1458" s="15"/>
      <c r="B1458" s="15"/>
      <c r="C1458" s="15"/>
      <c r="D1458" s="15"/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</row>
    <row r="1459" ht="19.5" customHeight="1">
      <c r="A1459" s="15"/>
      <c r="B1459" s="15"/>
      <c r="C1459" s="15"/>
      <c r="D1459" s="15"/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</row>
    <row r="1460" ht="19.5" customHeight="1">
      <c r="A1460" s="15"/>
      <c r="B1460" s="15"/>
      <c r="C1460" s="15"/>
      <c r="D1460" s="15"/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</row>
    <row r="1461" ht="19.5" customHeight="1">
      <c r="A1461" s="15"/>
      <c r="B1461" s="15"/>
      <c r="C1461" s="15"/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</row>
    <row r="1462" ht="19.5" customHeight="1">
      <c r="A1462" s="15"/>
      <c r="B1462" s="15"/>
      <c r="C1462" s="15"/>
      <c r="D1462" s="15"/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  <c r="AD1462" s="15"/>
      <c r="AE1462" s="15"/>
    </row>
    <row r="1463" ht="19.5" customHeight="1">
      <c r="A1463" s="15"/>
      <c r="B1463" s="15"/>
      <c r="C1463" s="15"/>
      <c r="D1463" s="15"/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</row>
    <row r="1464" ht="19.5" customHeight="1">
      <c r="A1464" s="15"/>
      <c r="B1464" s="15"/>
      <c r="C1464" s="15"/>
      <c r="D1464" s="15"/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</row>
    <row r="1465" ht="19.5" customHeight="1">
      <c r="A1465" s="15"/>
      <c r="B1465" s="15"/>
      <c r="C1465" s="15"/>
      <c r="D1465" s="15"/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</row>
    <row r="1466" ht="19.5" customHeight="1">
      <c r="A1466" s="15"/>
      <c r="B1466" s="15"/>
      <c r="C1466" s="15"/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</row>
    <row r="1467" ht="19.5" customHeight="1">
      <c r="A1467" s="15"/>
      <c r="B1467" s="15"/>
      <c r="C1467" s="15"/>
      <c r="D1467" s="15"/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</row>
    <row r="1468" ht="19.5" customHeight="1">
      <c r="A1468" s="15"/>
      <c r="B1468" s="15"/>
      <c r="C1468" s="15"/>
      <c r="D1468" s="15"/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</row>
    <row r="1469" ht="19.5" customHeight="1">
      <c r="A1469" s="15"/>
      <c r="B1469" s="15"/>
      <c r="C1469" s="15"/>
      <c r="D1469" s="15"/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</row>
    <row r="1470" ht="19.5" customHeight="1">
      <c r="A1470" s="15"/>
      <c r="B1470" s="15"/>
      <c r="C1470" s="15"/>
      <c r="D1470" s="15"/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</row>
    <row r="1471" ht="19.5" customHeight="1">
      <c r="A1471" s="15"/>
      <c r="B1471" s="15"/>
      <c r="C1471" s="15"/>
      <c r="D1471" s="15"/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</row>
    <row r="1472" ht="19.5" customHeight="1">
      <c r="A1472" s="15"/>
      <c r="B1472" s="15"/>
      <c r="C1472" s="15"/>
      <c r="D1472" s="15"/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</row>
    <row r="1473" ht="19.5" customHeight="1">
      <c r="A1473" s="15"/>
      <c r="B1473" s="15"/>
      <c r="C1473" s="15"/>
      <c r="D1473" s="15"/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</row>
    <row r="1474" ht="19.5" customHeight="1">
      <c r="A1474" s="15"/>
      <c r="B1474" s="15"/>
      <c r="C1474" s="15"/>
      <c r="D1474" s="15"/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</row>
    <row r="1475" ht="19.5" customHeight="1">
      <c r="A1475" s="15"/>
      <c r="B1475" s="15"/>
      <c r="C1475" s="15"/>
      <c r="D1475" s="15"/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</row>
    <row r="1476" ht="19.5" customHeight="1">
      <c r="A1476" s="15"/>
      <c r="B1476" s="15"/>
      <c r="C1476" s="15"/>
      <c r="D1476" s="15"/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</row>
    <row r="1477" ht="19.5" customHeight="1">
      <c r="A1477" s="15"/>
      <c r="B1477" s="15"/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</row>
    <row r="1478" ht="19.5" customHeight="1">
      <c r="A1478" s="15"/>
      <c r="B1478" s="15"/>
      <c r="C1478" s="15"/>
      <c r="D1478" s="15"/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</row>
    <row r="1479" ht="19.5" customHeight="1">
      <c r="A1479" s="15"/>
      <c r="B1479" s="15"/>
      <c r="C1479" s="15"/>
      <c r="D1479" s="15"/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</row>
    <row r="1480" ht="19.5" customHeight="1">
      <c r="A1480" s="15"/>
      <c r="B1480" s="15"/>
      <c r="C1480" s="15"/>
      <c r="D1480" s="15"/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</row>
    <row r="1481" ht="19.5" customHeight="1">
      <c r="A1481" s="15"/>
      <c r="B1481" s="15"/>
      <c r="C1481" s="15"/>
      <c r="D1481" s="15"/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</row>
    <row r="1482" ht="19.5" customHeight="1">
      <c r="A1482" s="15"/>
      <c r="B1482" s="15"/>
      <c r="C1482" s="15"/>
      <c r="D1482" s="15"/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</row>
    <row r="1483" ht="19.5" customHeight="1">
      <c r="A1483" s="15"/>
      <c r="B1483" s="15"/>
      <c r="C1483" s="15"/>
      <c r="D1483" s="15"/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</row>
    <row r="1484" ht="19.5" customHeight="1">
      <c r="A1484" s="15"/>
      <c r="B1484" s="15"/>
      <c r="C1484" s="15"/>
      <c r="D1484" s="15"/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</row>
    <row r="1485" ht="19.5" customHeight="1">
      <c r="A1485" s="15"/>
      <c r="B1485" s="15"/>
      <c r="C1485" s="15"/>
      <c r="D1485" s="15"/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</row>
    <row r="1486" ht="19.5" customHeight="1">
      <c r="A1486" s="15"/>
      <c r="B1486" s="15"/>
      <c r="C1486" s="15"/>
      <c r="D1486" s="15"/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</row>
    <row r="1487" ht="19.5" customHeight="1">
      <c r="A1487" s="15"/>
      <c r="B1487" s="15"/>
      <c r="C1487" s="15"/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</row>
    <row r="1488" ht="19.5" customHeight="1">
      <c r="A1488" s="15"/>
      <c r="B1488" s="15"/>
      <c r="C1488" s="15"/>
      <c r="D1488" s="15"/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  <c r="AD1488" s="15"/>
      <c r="AE1488" s="15"/>
    </row>
    <row r="1489" ht="19.5" customHeight="1">
      <c r="A1489" s="15"/>
      <c r="B1489" s="15"/>
      <c r="C1489" s="15"/>
      <c r="D1489" s="15"/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</row>
    <row r="1490" ht="19.5" customHeight="1">
      <c r="A1490" s="15"/>
      <c r="B1490" s="15"/>
      <c r="C1490" s="15"/>
      <c r="D1490" s="15"/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  <c r="AA1490" s="15"/>
      <c r="AB1490" s="15"/>
      <c r="AC1490" s="15"/>
      <c r="AD1490" s="15"/>
      <c r="AE1490" s="15"/>
    </row>
    <row r="1491" ht="19.5" customHeight="1">
      <c r="A1491" s="15"/>
      <c r="B1491" s="15"/>
      <c r="C1491" s="15"/>
      <c r="D1491" s="15"/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</row>
    <row r="1492" ht="19.5" customHeight="1">
      <c r="A1492" s="15"/>
      <c r="B1492" s="15"/>
      <c r="C1492" s="15"/>
      <c r="D1492" s="15"/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</row>
    <row r="1493" ht="19.5" customHeight="1">
      <c r="A1493" s="15"/>
      <c r="B1493" s="15"/>
      <c r="C1493" s="15"/>
      <c r="D1493" s="15"/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</row>
    <row r="1494" ht="19.5" customHeight="1">
      <c r="A1494" s="15"/>
      <c r="B1494" s="15"/>
      <c r="C1494" s="15"/>
      <c r="D1494" s="15"/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</row>
    <row r="1495" ht="19.5" customHeight="1">
      <c r="A1495" s="15"/>
      <c r="B1495" s="15"/>
      <c r="C1495" s="15"/>
      <c r="D1495" s="15"/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  <c r="AD1495" s="15"/>
      <c r="AE1495" s="15"/>
    </row>
    <row r="1496" ht="19.5" customHeight="1">
      <c r="A1496" s="15"/>
      <c r="B1496" s="15"/>
      <c r="C1496" s="15"/>
      <c r="D1496" s="15"/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  <c r="AD1496" s="15"/>
      <c r="AE1496" s="15"/>
    </row>
    <row r="1497" ht="19.5" customHeight="1">
      <c r="A1497" s="15"/>
      <c r="B1497" s="15"/>
      <c r="C1497" s="15"/>
      <c r="D1497" s="15"/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</row>
    <row r="1498" ht="19.5" customHeight="1">
      <c r="A1498" s="15"/>
      <c r="B1498" s="15"/>
      <c r="C1498" s="15"/>
      <c r="D1498" s="15"/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</row>
    <row r="1499" ht="19.5" customHeight="1">
      <c r="A1499" s="15"/>
      <c r="B1499" s="15"/>
      <c r="C1499" s="15"/>
      <c r="D1499" s="15"/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</row>
    <row r="1500" ht="19.5" customHeight="1">
      <c r="A1500" s="15"/>
      <c r="B1500" s="15"/>
      <c r="C1500" s="15"/>
      <c r="D1500" s="15"/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/>
      <c r="AB1500" s="15"/>
      <c r="AC1500" s="15"/>
      <c r="AD1500" s="15"/>
      <c r="AE1500" s="15"/>
    </row>
    <row r="1501" ht="19.5" customHeight="1">
      <c r="A1501" s="15"/>
      <c r="B1501" s="15"/>
      <c r="C1501" s="15"/>
      <c r="D1501" s="15"/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</row>
    <row r="1502" ht="19.5" customHeight="1">
      <c r="A1502" s="15"/>
      <c r="B1502" s="15"/>
      <c r="C1502" s="15"/>
      <c r="D1502" s="15"/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</row>
    <row r="1503" ht="19.5" customHeight="1">
      <c r="A1503" s="15"/>
      <c r="B1503" s="15"/>
      <c r="C1503" s="15"/>
      <c r="D1503" s="15"/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</row>
    <row r="1504" ht="19.5" customHeight="1">
      <c r="A1504" s="15"/>
      <c r="B1504" s="15"/>
      <c r="C1504" s="15"/>
      <c r="D1504" s="15"/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</row>
    <row r="1505" ht="19.5" customHeight="1">
      <c r="A1505" s="15"/>
      <c r="B1505" s="15"/>
      <c r="C1505" s="15"/>
      <c r="D1505" s="15"/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</row>
    <row r="1506" ht="19.5" customHeight="1">
      <c r="A1506" s="15"/>
      <c r="B1506" s="15"/>
      <c r="C1506" s="15"/>
      <c r="D1506" s="15"/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</row>
    <row r="1507" ht="19.5" customHeight="1">
      <c r="A1507" s="15"/>
      <c r="B1507" s="15"/>
      <c r="C1507" s="15"/>
      <c r="D1507" s="15"/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</row>
    <row r="1508" ht="19.5" customHeight="1">
      <c r="A1508" s="15"/>
      <c r="B1508" s="15"/>
      <c r="C1508" s="15"/>
      <c r="D1508" s="15"/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/>
      <c r="AC1508" s="15"/>
      <c r="AD1508" s="15"/>
      <c r="AE1508" s="15"/>
    </row>
    <row r="1509" ht="19.5" customHeight="1">
      <c r="A1509" s="15"/>
      <c r="B1509" s="15"/>
      <c r="C1509" s="15"/>
      <c r="D1509" s="15"/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</row>
    <row r="1510" ht="19.5" customHeight="1">
      <c r="A1510" s="15"/>
      <c r="B1510" s="15"/>
      <c r="C1510" s="15"/>
      <c r="D1510" s="15"/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</row>
    <row r="1511" ht="19.5" customHeight="1">
      <c r="A1511" s="15"/>
      <c r="B1511" s="15"/>
      <c r="C1511" s="15"/>
      <c r="D1511" s="15"/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</row>
    <row r="1512" ht="19.5" customHeight="1">
      <c r="A1512" s="15"/>
      <c r="B1512" s="15"/>
      <c r="C1512" s="15"/>
      <c r="D1512" s="15"/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</row>
    <row r="1513" ht="19.5" customHeight="1">
      <c r="A1513" s="15"/>
      <c r="B1513" s="15"/>
      <c r="C1513" s="15"/>
      <c r="D1513" s="15"/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</row>
    <row r="1514" ht="19.5" customHeight="1">
      <c r="A1514" s="15"/>
      <c r="B1514" s="15"/>
      <c r="C1514" s="15"/>
      <c r="D1514" s="15"/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</row>
    <row r="1515" ht="19.5" customHeight="1">
      <c r="A1515" s="15"/>
      <c r="B1515" s="15"/>
      <c r="C1515" s="15"/>
      <c r="D1515" s="15"/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</row>
    <row r="1516" ht="19.5" customHeight="1">
      <c r="A1516" s="15"/>
      <c r="B1516" s="15"/>
      <c r="C1516" s="15"/>
      <c r="D1516" s="15"/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</row>
    <row r="1517" ht="19.5" customHeight="1">
      <c r="A1517" s="15"/>
      <c r="B1517" s="15"/>
      <c r="C1517" s="15"/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</row>
    <row r="1518" ht="19.5" customHeight="1">
      <c r="A1518" s="15"/>
      <c r="B1518" s="15"/>
      <c r="C1518" s="15"/>
      <c r="D1518" s="15"/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</row>
    <row r="1519" ht="19.5" customHeight="1">
      <c r="A1519" s="15"/>
      <c r="B1519" s="15"/>
      <c r="C1519" s="15"/>
      <c r="D1519" s="15"/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</row>
    <row r="1520" ht="19.5" customHeight="1">
      <c r="A1520" s="15"/>
      <c r="B1520" s="15"/>
      <c r="C1520" s="15"/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</row>
    <row r="1521" ht="19.5" customHeight="1">
      <c r="A1521" s="15"/>
      <c r="B1521" s="15"/>
      <c r="C1521" s="15"/>
      <c r="D1521" s="15"/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</row>
    <row r="1522" ht="19.5" customHeight="1">
      <c r="A1522" s="15"/>
      <c r="B1522" s="15"/>
      <c r="C1522" s="15"/>
      <c r="D1522" s="15"/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</row>
    <row r="1523" ht="19.5" customHeight="1">
      <c r="A1523" s="15"/>
      <c r="B1523" s="15"/>
      <c r="C1523" s="15"/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</row>
    <row r="1524" ht="19.5" customHeight="1">
      <c r="A1524" s="15"/>
      <c r="B1524" s="15"/>
      <c r="C1524" s="15"/>
      <c r="D1524" s="15"/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  <c r="AD1524" s="15"/>
      <c r="AE1524" s="15"/>
    </row>
    <row r="1525" ht="19.5" customHeight="1">
      <c r="A1525" s="15"/>
      <c r="B1525" s="15"/>
      <c r="C1525" s="15"/>
      <c r="D1525" s="15"/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</row>
    <row r="1526" ht="19.5" customHeight="1">
      <c r="A1526" s="15"/>
      <c r="B1526" s="15"/>
      <c r="C1526" s="15"/>
      <c r="D1526" s="15"/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</row>
    <row r="1527" ht="19.5" customHeight="1">
      <c r="A1527" s="15"/>
      <c r="B1527" s="15"/>
      <c r="C1527" s="15"/>
      <c r="D1527" s="15"/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</row>
    <row r="1528" ht="19.5" customHeight="1">
      <c r="A1528" s="15"/>
      <c r="B1528" s="15"/>
      <c r="C1528" s="15"/>
      <c r="D1528" s="15"/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</row>
    <row r="1529" ht="19.5" customHeight="1">
      <c r="A1529" s="15"/>
      <c r="B1529" s="15"/>
      <c r="C1529" s="15"/>
      <c r="D1529" s="15"/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</row>
    <row r="1530" ht="19.5" customHeight="1">
      <c r="A1530" s="15"/>
      <c r="B1530" s="15"/>
      <c r="C1530" s="15"/>
      <c r="D1530" s="15"/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  <c r="AA1530" s="15"/>
      <c r="AB1530" s="15"/>
      <c r="AC1530" s="15"/>
      <c r="AD1530" s="15"/>
      <c r="AE1530" s="15"/>
    </row>
    <row r="1531" ht="19.5" customHeight="1">
      <c r="A1531" s="15"/>
      <c r="B1531" s="15"/>
      <c r="C1531" s="15"/>
      <c r="D1531" s="15"/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</row>
    <row r="1532" ht="19.5" customHeight="1">
      <c r="A1532" s="15"/>
      <c r="B1532" s="15"/>
      <c r="C1532" s="15"/>
      <c r="D1532" s="15"/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</row>
    <row r="1533" ht="19.5" customHeight="1">
      <c r="A1533" s="15"/>
      <c r="B1533" s="15"/>
      <c r="C1533" s="15"/>
      <c r="D1533" s="15"/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</row>
    <row r="1534" ht="19.5" customHeight="1">
      <c r="A1534" s="15"/>
      <c r="B1534" s="15"/>
      <c r="C1534" s="15"/>
      <c r="D1534" s="15"/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</row>
    <row r="1535" ht="19.5" customHeight="1">
      <c r="A1535" s="15"/>
      <c r="B1535" s="15"/>
      <c r="C1535" s="15"/>
      <c r="D1535" s="15"/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</row>
    <row r="1536" ht="19.5" customHeight="1">
      <c r="A1536" s="15"/>
      <c r="B1536" s="15"/>
      <c r="C1536" s="15"/>
      <c r="D1536" s="15"/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</row>
    <row r="1537" ht="19.5" customHeight="1">
      <c r="A1537" s="15"/>
      <c r="B1537" s="15"/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</row>
    <row r="1538" ht="19.5" customHeight="1">
      <c r="A1538" s="15"/>
      <c r="B1538" s="15"/>
      <c r="C1538" s="15"/>
      <c r="D1538" s="15"/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</row>
    <row r="1539" ht="19.5" customHeight="1">
      <c r="A1539" s="15"/>
      <c r="B1539" s="15"/>
      <c r="C1539" s="15"/>
      <c r="D1539" s="15"/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</row>
    <row r="1540" ht="19.5" customHeight="1">
      <c r="A1540" s="15"/>
      <c r="B1540" s="15"/>
      <c r="C1540" s="15"/>
      <c r="D1540" s="15"/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5"/>
      <c r="AD1540" s="15"/>
      <c r="AE1540" s="15"/>
    </row>
    <row r="1541" ht="19.5" customHeight="1">
      <c r="A1541" s="15"/>
      <c r="B1541" s="15"/>
      <c r="C1541" s="15"/>
      <c r="D1541" s="15"/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</row>
    <row r="1542" ht="19.5" customHeight="1">
      <c r="A1542" s="15"/>
      <c r="B1542" s="15"/>
      <c r="C1542" s="15"/>
      <c r="D1542" s="15"/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</row>
    <row r="1543" ht="19.5" customHeight="1">
      <c r="A1543" s="15"/>
      <c r="B1543" s="15"/>
      <c r="C1543" s="15"/>
      <c r="D1543" s="15"/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</row>
    <row r="1544" ht="19.5" customHeight="1">
      <c r="A1544" s="15"/>
      <c r="B1544" s="15"/>
      <c r="C1544" s="15"/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</row>
    <row r="1545" ht="19.5" customHeight="1">
      <c r="A1545" s="15"/>
      <c r="B1545" s="15"/>
      <c r="C1545" s="15"/>
      <c r="D1545" s="15"/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</row>
    <row r="1546" ht="19.5" customHeight="1">
      <c r="A1546" s="15"/>
      <c r="B1546" s="15"/>
      <c r="C1546" s="15"/>
      <c r="D1546" s="15"/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/>
      <c r="AB1546" s="15"/>
      <c r="AC1546" s="15"/>
      <c r="AD1546" s="15"/>
      <c r="AE1546" s="15"/>
    </row>
    <row r="1547" ht="19.5" customHeight="1">
      <c r="A1547" s="15"/>
      <c r="B1547" s="15"/>
      <c r="C1547" s="15"/>
      <c r="D1547" s="15"/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</row>
    <row r="1548" ht="19.5" customHeight="1">
      <c r="A1548" s="15"/>
      <c r="B1548" s="15"/>
      <c r="C1548" s="15"/>
      <c r="D1548" s="15"/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</row>
    <row r="1549" ht="19.5" customHeight="1">
      <c r="A1549" s="15"/>
      <c r="B1549" s="15"/>
      <c r="C1549" s="15"/>
      <c r="D1549" s="15"/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</row>
    <row r="1550" ht="19.5" customHeight="1">
      <c r="A1550" s="15"/>
      <c r="B1550" s="15"/>
      <c r="C1550" s="15"/>
      <c r="D1550" s="15"/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</row>
    <row r="1551" ht="19.5" customHeight="1">
      <c r="A1551" s="15"/>
      <c r="B1551" s="15"/>
      <c r="C1551" s="15"/>
      <c r="D1551" s="15"/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</row>
    <row r="1552" ht="19.5" customHeight="1">
      <c r="A1552" s="15"/>
      <c r="B1552" s="15"/>
      <c r="C1552" s="15"/>
      <c r="D1552" s="15"/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</row>
    <row r="1553" ht="19.5" customHeight="1">
      <c r="A1553" s="15"/>
      <c r="B1553" s="15"/>
      <c r="C1553" s="15"/>
      <c r="D1553" s="15"/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</row>
    <row r="1554" ht="19.5" customHeight="1">
      <c r="A1554" s="15"/>
      <c r="B1554" s="15"/>
      <c r="C1554" s="15"/>
      <c r="D1554" s="15"/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  <c r="AA1554" s="15"/>
      <c r="AB1554" s="15"/>
      <c r="AC1554" s="15"/>
      <c r="AD1554" s="15"/>
      <c r="AE1554" s="15"/>
    </row>
    <row r="1555" ht="19.5" customHeight="1">
      <c r="A1555" s="15"/>
      <c r="B1555" s="15"/>
      <c r="C1555" s="15"/>
      <c r="D1555" s="15"/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</row>
    <row r="1556" ht="19.5" customHeight="1">
      <c r="A1556" s="15"/>
      <c r="B1556" s="15"/>
      <c r="C1556" s="15"/>
      <c r="D1556" s="15"/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</row>
    <row r="1557" ht="19.5" customHeight="1">
      <c r="A1557" s="15"/>
      <c r="B1557" s="15"/>
      <c r="C1557" s="15"/>
      <c r="D1557" s="15"/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</row>
    <row r="1558" ht="19.5" customHeight="1">
      <c r="A1558" s="15"/>
      <c r="B1558" s="15"/>
      <c r="C1558" s="15"/>
      <c r="D1558" s="15"/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</row>
    <row r="1559" ht="19.5" customHeight="1">
      <c r="A1559" s="15"/>
      <c r="B1559" s="15"/>
      <c r="C1559" s="15"/>
      <c r="D1559" s="15"/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</row>
    <row r="1560" ht="19.5" customHeight="1">
      <c r="A1560" s="15"/>
      <c r="B1560" s="15"/>
      <c r="C1560" s="15"/>
      <c r="D1560" s="15"/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</row>
    <row r="1561" ht="19.5" customHeight="1">
      <c r="A1561" s="15"/>
      <c r="B1561" s="15"/>
      <c r="C1561" s="15"/>
      <c r="D1561" s="15"/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</row>
    <row r="1562" ht="19.5" customHeight="1">
      <c r="A1562" s="15"/>
      <c r="B1562" s="15"/>
      <c r="C1562" s="15"/>
      <c r="D1562" s="15"/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</row>
    <row r="1563" ht="19.5" customHeight="1">
      <c r="A1563" s="15"/>
      <c r="B1563" s="15"/>
      <c r="C1563" s="15"/>
      <c r="D1563" s="15"/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</row>
    <row r="1564" ht="19.5" customHeight="1">
      <c r="A1564" s="15"/>
      <c r="B1564" s="15"/>
      <c r="C1564" s="15"/>
      <c r="D1564" s="15"/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</row>
    <row r="1565" ht="19.5" customHeight="1">
      <c r="A1565" s="15"/>
      <c r="B1565" s="15"/>
      <c r="C1565" s="15"/>
      <c r="D1565" s="15"/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</row>
    <row r="1566" ht="19.5" customHeight="1">
      <c r="A1566" s="15"/>
      <c r="B1566" s="15"/>
      <c r="C1566" s="15"/>
      <c r="D1566" s="15"/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</row>
    <row r="1567" ht="19.5" customHeight="1">
      <c r="A1567" s="15"/>
      <c r="B1567" s="15"/>
      <c r="C1567" s="15"/>
      <c r="D1567" s="15"/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</row>
    <row r="1568" ht="19.5" customHeight="1">
      <c r="A1568" s="15"/>
      <c r="B1568" s="15"/>
      <c r="C1568" s="15"/>
      <c r="D1568" s="15"/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</row>
    <row r="1569" ht="19.5" customHeight="1">
      <c r="A1569" s="15"/>
      <c r="B1569" s="15"/>
      <c r="C1569" s="15"/>
      <c r="D1569" s="15"/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</row>
    <row r="1570" ht="19.5" customHeight="1">
      <c r="A1570" s="15"/>
      <c r="B1570" s="15"/>
      <c r="C1570" s="15"/>
      <c r="D1570" s="15"/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</row>
    <row r="1571" ht="19.5" customHeight="1">
      <c r="A1571" s="15"/>
      <c r="B1571" s="15"/>
      <c r="C1571" s="15"/>
      <c r="D1571" s="15"/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</row>
    <row r="1572" ht="19.5" customHeight="1">
      <c r="A1572" s="15"/>
      <c r="B1572" s="15"/>
      <c r="C1572" s="15"/>
      <c r="D1572" s="15"/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</row>
    <row r="1573" ht="19.5" customHeight="1">
      <c r="A1573" s="15"/>
      <c r="B1573" s="15"/>
      <c r="C1573" s="15"/>
      <c r="D1573" s="15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  <c r="AA1573" s="15"/>
      <c r="AB1573" s="15"/>
      <c r="AC1573" s="15"/>
      <c r="AD1573" s="15"/>
      <c r="AE1573" s="15"/>
    </row>
    <row r="1574" ht="19.5" customHeight="1">
      <c r="A1574" s="15"/>
      <c r="B1574" s="15"/>
      <c r="C1574" s="15"/>
      <c r="D1574" s="15"/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</row>
    <row r="1575" ht="19.5" customHeight="1">
      <c r="A1575" s="15"/>
      <c r="B1575" s="15"/>
      <c r="C1575" s="15"/>
      <c r="D1575" s="15"/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</row>
    <row r="1576" ht="19.5" customHeight="1">
      <c r="A1576" s="15"/>
      <c r="B1576" s="15"/>
      <c r="C1576" s="15"/>
      <c r="D1576" s="15"/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</row>
    <row r="1577" ht="19.5" customHeight="1">
      <c r="A1577" s="15"/>
      <c r="B1577" s="15"/>
      <c r="C1577" s="15"/>
      <c r="D1577" s="15"/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</row>
    <row r="1578" ht="19.5" customHeight="1">
      <c r="A1578" s="15"/>
      <c r="B1578" s="15"/>
      <c r="C1578" s="15"/>
      <c r="D1578" s="15"/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</row>
    <row r="1579" ht="19.5" customHeight="1">
      <c r="A1579" s="15"/>
      <c r="B1579" s="15"/>
      <c r="C1579" s="15"/>
      <c r="D1579" s="15"/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</row>
    <row r="1580" ht="19.5" customHeight="1">
      <c r="A1580" s="15"/>
      <c r="B1580" s="15"/>
      <c r="C1580" s="15"/>
      <c r="D1580" s="15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</row>
    <row r="1581" ht="19.5" customHeight="1">
      <c r="A1581" s="15"/>
      <c r="B1581" s="15"/>
      <c r="C1581" s="15"/>
      <c r="D1581" s="15"/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</row>
    <row r="1582" ht="19.5" customHeight="1">
      <c r="A1582" s="15"/>
      <c r="B1582" s="15"/>
      <c r="C1582" s="15"/>
      <c r="D1582" s="15"/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</row>
    <row r="1583" ht="19.5" customHeight="1">
      <c r="A1583" s="15"/>
      <c r="B1583" s="15"/>
      <c r="C1583" s="15"/>
      <c r="D1583" s="15"/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5"/>
    </row>
    <row r="1584" ht="19.5" customHeight="1">
      <c r="A1584" s="15"/>
      <c r="B1584" s="15"/>
      <c r="C1584" s="15"/>
      <c r="D1584" s="15"/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</row>
    <row r="1585" ht="19.5" customHeight="1">
      <c r="A1585" s="15"/>
      <c r="B1585" s="15"/>
      <c r="C1585" s="15"/>
      <c r="D1585" s="15"/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  <c r="AA1585" s="15"/>
      <c r="AB1585" s="15"/>
      <c r="AC1585" s="15"/>
      <c r="AD1585" s="15"/>
      <c r="AE1585" s="15"/>
    </row>
    <row r="1586" ht="19.5" customHeight="1">
      <c r="A1586" s="15"/>
      <c r="B1586" s="15"/>
      <c r="C1586" s="15"/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</row>
    <row r="1587" ht="19.5" customHeight="1">
      <c r="A1587" s="15"/>
      <c r="B1587" s="15"/>
      <c r="C1587" s="15"/>
      <c r="D1587" s="15"/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</row>
    <row r="1588" ht="19.5" customHeight="1">
      <c r="A1588" s="15"/>
      <c r="B1588" s="15"/>
      <c r="C1588" s="15"/>
      <c r="D1588" s="15"/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  <c r="Y1588" s="15"/>
      <c r="Z1588" s="15"/>
      <c r="AA1588" s="15"/>
      <c r="AB1588" s="15"/>
      <c r="AC1588" s="15"/>
      <c r="AD1588" s="15"/>
      <c r="AE1588" s="15"/>
    </row>
    <row r="1589" ht="19.5" customHeight="1">
      <c r="A1589" s="15"/>
      <c r="B1589" s="15"/>
      <c r="C1589" s="15"/>
      <c r="D1589" s="15"/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</row>
    <row r="1590" ht="19.5" customHeight="1">
      <c r="A1590" s="15"/>
      <c r="B1590" s="15"/>
      <c r="C1590" s="15"/>
      <c r="D1590" s="15"/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  <c r="AD1590" s="15"/>
      <c r="AE1590" s="15"/>
    </row>
    <row r="1591" ht="19.5" customHeight="1">
      <c r="A1591" s="15"/>
      <c r="B1591" s="15"/>
      <c r="C1591" s="15"/>
      <c r="D1591" s="15"/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  <c r="AD1591" s="15"/>
      <c r="AE1591" s="15"/>
    </row>
    <row r="1592" ht="19.5" customHeight="1">
      <c r="A1592" s="15"/>
      <c r="B1592" s="15"/>
      <c r="C1592" s="15"/>
      <c r="D1592" s="15"/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  <c r="Y1592" s="15"/>
      <c r="Z1592" s="15"/>
      <c r="AA1592" s="15"/>
      <c r="AB1592" s="15"/>
      <c r="AC1592" s="15"/>
      <c r="AD1592" s="15"/>
      <c r="AE1592" s="15"/>
    </row>
    <row r="1593" ht="19.5" customHeight="1">
      <c r="A1593" s="15"/>
      <c r="B1593" s="15"/>
      <c r="C1593" s="15"/>
      <c r="D1593" s="15"/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</row>
    <row r="1594" ht="19.5" customHeight="1">
      <c r="A1594" s="15"/>
      <c r="B1594" s="15"/>
      <c r="C1594" s="15"/>
      <c r="D1594" s="15"/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</row>
    <row r="1595" ht="19.5" customHeight="1">
      <c r="A1595" s="15"/>
      <c r="B1595" s="15"/>
      <c r="C1595" s="15"/>
      <c r="D1595" s="15"/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5"/>
      <c r="AB1595" s="15"/>
      <c r="AC1595" s="15"/>
      <c r="AD1595" s="15"/>
      <c r="AE1595" s="15"/>
    </row>
    <row r="1596" ht="19.5" customHeight="1">
      <c r="A1596" s="15"/>
      <c r="B1596" s="15"/>
      <c r="C1596" s="15"/>
      <c r="D1596" s="15"/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</row>
    <row r="1597" ht="19.5" customHeight="1">
      <c r="A1597" s="15"/>
      <c r="B1597" s="15"/>
      <c r="C1597" s="15"/>
      <c r="D1597" s="15"/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  <c r="AD1597" s="15"/>
      <c r="AE1597" s="15"/>
    </row>
    <row r="1598" ht="19.5" customHeight="1">
      <c r="A1598" s="15"/>
      <c r="B1598" s="15"/>
      <c r="C1598" s="15"/>
      <c r="D1598" s="15"/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  <c r="Y1598" s="15"/>
      <c r="Z1598" s="15"/>
      <c r="AA1598" s="15"/>
      <c r="AB1598" s="15"/>
      <c r="AC1598" s="15"/>
      <c r="AD1598" s="15"/>
      <c r="AE1598" s="15"/>
    </row>
    <row r="1599" ht="19.5" customHeight="1">
      <c r="A1599" s="15"/>
      <c r="B1599" s="15"/>
      <c r="C1599" s="15"/>
      <c r="D1599" s="15"/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  <c r="AA1599" s="15"/>
      <c r="AB1599" s="15"/>
      <c r="AC1599" s="15"/>
      <c r="AD1599" s="15"/>
      <c r="AE1599" s="15"/>
    </row>
    <row r="1600" ht="19.5" customHeight="1">
      <c r="A1600" s="15"/>
      <c r="B1600" s="15"/>
      <c r="C1600" s="15"/>
      <c r="D1600" s="15"/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  <c r="AA1600" s="15"/>
      <c r="AB1600" s="15"/>
      <c r="AC1600" s="15"/>
      <c r="AD1600" s="15"/>
      <c r="AE1600" s="15"/>
    </row>
    <row r="1601" ht="19.5" customHeight="1">
      <c r="A1601" s="15"/>
      <c r="B1601" s="15"/>
      <c r="C1601" s="15"/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  <c r="Y1601" s="15"/>
      <c r="Z1601" s="15"/>
      <c r="AA1601" s="15"/>
      <c r="AB1601" s="15"/>
      <c r="AC1601" s="15"/>
      <c r="AD1601" s="15"/>
      <c r="AE1601" s="15"/>
    </row>
    <row r="1602" ht="19.5" customHeight="1">
      <c r="A1602" s="15"/>
      <c r="B1602" s="15"/>
      <c r="C1602" s="15"/>
      <c r="D1602" s="15"/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  <c r="Y1602" s="15"/>
      <c r="Z1602" s="15"/>
      <c r="AA1602" s="15"/>
      <c r="AB1602" s="15"/>
      <c r="AC1602" s="15"/>
      <c r="AD1602" s="15"/>
      <c r="AE1602" s="15"/>
    </row>
    <row r="1603" ht="19.5" customHeight="1">
      <c r="A1603" s="15"/>
      <c r="B1603" s="15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  <c r="AD1603" s="15"/>
      <c r="AE1603" s="15"/>
    </row>
    <row r="1604" ht="19.5" customHeight="1">
      <c r="A1604" s="15"/>
      <c r="B1604" s="15"/>
      <c r="C1604" s="15"/>
      <c r="D1604" s="15"/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  <c r="AA1604" s="15"/>
      <c r="AB1604" s="15"/>
      <c r="AC1604" s="15"/>
      <c r="AD1604" s="15"/>
      <c r="AE1604" s="15"/>
    </row>
    <row r="1605" ht="19.5" customHeight="1">
      <c r="A1605" s="15"/>
      <c r="B1605" s="15"/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  <c r="AA1605" s="15"/>
      <c r="AB1605" s="15"/>
      <c r="AC1605" s="15"/>
      <c r="AD1605" s="15"/>
      <c r="AE1605" s="15"/>
    </row>
    <row r="1606" ht="19.5" customHeight="1">
      <c r="A1606" s="15"/>
      <c r="B1606" s="15"/>
      <c r="C1606" s="15"/>
      <c r="D1606" s="15"/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  <c r="Y1606" s="15"/>
      <c r="Z1606" s="15"/>
      <c r="AA1606" s="15"/>
      <c r="AB1606" s="15"/>
      <c r="AC1606" s="15"/>
      <c r="AD1606" s="15"/>
      <c r="AE1606" s="15"/>
    </row>
    <row r="1607" ht="19.5" customHeight="1">
      <c r="A1607" s="15"/>
      <c r="B1607" s="15"/>
      <c r="C1607" s="15"/>
      <c r="D1607" s="15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  <c r="Y1607" s="15"/>
      <c r="Z1607" s="15"/>
      <c r="AA1607" s="15"/>
      <c r="AB1607" s="15"/>
      <c r="AC1607" s="15"/>
      <c r="AD1607" s="15"/>
      <c r="AE1607" s="15"/>
    </row>
    <row r="1608" ht="19.5" customHeight="1">
      <c r="A1608" s="15"/>
      <c r="B1608" s="15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  <c r="Y1608" s="15"/>
      <c r="Z1608" s="15"/>
      <c r="AA1608" s="15"/>
      <c r="AB1608" s="15"/>
      <c r="AC1608" s="15"/>
      <c r="AD1608" s="15"/>
      <c r="AE1608" s="15"/>
    </row>
    <row r="1609" ht="19.5" customHeight="1">
      <c r="A1609" s="15"/>
      <c r="B1609" s="15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  <c r="Y1609" s="15"/>
      <c r="Z1609" s="15"/>
      <c r="AA1609" s="15"/>
      <c r="AB1609" s="15"/>
      <c r="AC1609" s="15"/>
      <c r="AD1609" s="15"/>
      <c r="AE1609" s="15"/>
    </row>
    <row r="1610" ht="19.5" customHeight="1">
      <c r="A1610" s="15"/>
      <c r="B1610" s="15"/>
      <c r="C1610" s="15"/>
      <c r="D1610" s="15"/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  <c r="AA1610" s="15"/>
      <c r="AB1610" s="15"/>
      <c r="AC1610" s="15"/>
      <c r="AD1610" s="15"/>
      <c r="AE1610" s="15"/>
    </row>
    <row r="1611" ht="19.5" customHeight="1">
      <c r="A1611" s="15"/>
      <c r="B1611" s="15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/>
      <c r="AC1611" s="15"/>
      <c r="AD1611" s="15"/>
      <c r="AE1611" s="15"/>
    </row>
    <row r="1612" ht="19.5" customHeight="1">
      <c r="A1612" s="15"/>
      <c r="B1612" s="15"/>
      <c r="C1612" s="15"/>
      <c r="D1612" s="15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  <c r="AA1612" s="15"/>
      <c r="AB1612" s="15"/>
      <c r="AC1612" s="15"/>
      <c r="AD1612" s="15"/>
      <c r="AE1612" s="15"/>
    </row>
    <row r="1613" ht="19.5" customHeight="1">
      <c r="A1613" s="15"/>
      <c r="B1613" s="15"/>
      <c r="C1613" s="15"/>
      <c r="D1613" s="15"/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</row>
    <row r="1614" ht="19.5" customHeight="1">
      <c r="A1614" s="15"/>
      <c r="B1614" s="15"/>
      <c r="C1614" s="15"/>
      <c r="D1614" s="15"/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  <c r="Y1614" s="15"/>
      <c r="Z1614" s="15"/>
      <c r="AA1614" s="15"/>
      <c r="AB1614" s="15"/>
      <c r="AC1614" s="15"/>
      <c r="AD1614" s="15"/>
      <c r="AE1614" s="15"/>
    </row>
    <row r="1615" ht="19.5" customHeight="1">
      <c r="A1615" s="15"/>
      <c r="B1615" s="15"/>
      <c r="C1615" s="15"/>
      <c r="D1615" s="15"/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  <c r="AD1615" s="15"/>
      <c r="AE1615" s="15"/>
    </row>
    <row r="1616" ht="19.5" customHeight="1">
      <c r="A1616" s="15"/>
      <c r="B1616" s="15"/>
      <c r="C1616" s="15"/>
      <c r="D1616" s="15"/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  <c r="Y1616" s="15"/>
      <c r="Z1616" s="15"/>
      <c r="AA1616" s="15"/>
      <c r="AB1616" s="15"/>
      <c r="AC1616" s="15"/>
      <c r="AD1616" s="15"/>
      <c r="AE1616" s="15"/>
    </row>
    <row r="1617" ht="19.5" customHeight="1">
      <c r="A1617" s="15"/>
      <c r="B1617" s="15"/>
      <c r="C1617" s="15"/>
      <c r="D1617" s="15"/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  <c r="Y1617" s="15"/>
      <c r="Z1617" s="15"/>
      <c r="AA1617" s="15"/>
      <c r="AB1617" s="15"/>
      <c r="AC1617" s="15"/>
      <c r="AD1617" s="15"/>
      <c r="AE1617" s="15"/>
    </row>
    <row r="1618" ht="19.5" customHeight="1">
      <c r="A1618" s="15"/>
      <c r="B1618" s="15"/>
      <c r="C1618" s="15"/>
      <c r="D1618" s="15"/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  <c r="Y1618" s="15"/>
      <c r="Z1618" s="15"/>
      <c r="AA1618" s="15"/>
      <c r="AB1618" s="15"/>
      <c r="AC1618" s="15"/>
      <c r="AD1618" s="15"/>
      <c r="AE1618" s="15"/>
    </row>
    <row r="1619" ht="19.5" customHeight="1">
      <c r="A1619" s="15"/>
      <c r="B1619" s="15"/>
      <c r="C1619" s="15"/>
      <c r="D1619" s="15"/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5"/>
    </row>
    <row r="1620" ht="19.5" customHeight="1">
      <c r="A1620" s="15"/>
      <c r="B1620" s="15"/>
      <c r="C1620" s="15"/>
      <c r="D1620" s="15"/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  <c r="Y1620" s="15"/>
      <c r="Z1620" s="15"/>
      <c r="AA1620" s="15"/>
      <c r="AB1620" s="15"/>
      <c r="AC1620" s="15"/>
      <c r="AD1620" s="15"/>
      <c r="AE1620" s="15"/>
    </row>
    <row r="1621" ht="19.5" customHeight="1">
      <c r="A1621" s="15"/>
      <c r="B1621" s="15"/>
      <c r="C1621" s="15"/>
      <c r="D1621" s="15"/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  <c r="Y1621" s="15"/>
      <c r="Z1621" s="15"/>
      <c r="AA1621" s="15"/>
      <c r="AB1621" s="15"/>
      <c r="AC1621" s="15"/>
      <c r="AD1621" s="15"/>
      <c r="AE1621" s="15"/>
    </row>
    <row r="1622" ht="19.5" customHeight="1">
      <c r="A1622" s="15"/>
      <c r="B1622" s="15"/>
      <c r="C1622" s="15"/>
      <c r="D1622" s="15"/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  <c r="Y1622" s="15"/>
      <c r="Z1622" s="15"/>
      <c r="AA1622" s="15"/>
      <c r="AB1622" s="15"/>
      <c r="AC1622" s="15"/>
      <c r="AD1622" s="15"/>
      <c r="AE1622" s="15"/>
    </row>
    <row r="1623" ht="19.5" customHeight="1">
      <c r="A1623" s="15"/>
      <c r="B1623" s="15"/>
      <c r="C1623" s="15"/>
      <c r="D1623" s="15"/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  <c r="AA1623" s="15"/>
      <c r="AB1623" s="15"/>
      <c r="AC1623" s="15"/>
      <c r="AD1623" s="15"/>
      <c r="AE1623" s="15"/>
    </row>
    <row r="1624" ht="19.5" customHeight="1">
      <c r="A1624" s="15"/>
      <c r="B1624" s="15"/>
      <c r="C1624" s="15"/>
      <c r="D1624" s="15"/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/>
      <c r="AB1624" s="15"/>
      <c r="AC1624" s="15"/>
      <c r="AD1624" s="15"/>
      <c r="AE1624" s="15"/>
    </row>
    <row r="1625" ht="19.5" customHeight="1">
      <c r="A1625" s="15"/>
      <c r="B1625" s="15"/>
      <c r="C1625" s="15"/>
      <c r="D1625" s="15"/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  <c r="AA1625" s="15"/>
      <c r="AB1625" s="15"/>
      <c r="AC1625" s="15"/>
      <c r="AD1625" s="15"/>
      <c r="AE1625" s="15"/>
    </row>
    <row r="1626" ht="19.5" customHeight="1">
      <c r="A1626" s="15"/>
      <c r="B1626" s="15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  <c r="Y1626" s="15"/>
      <c r="Z1626" s="15"/>
      <c r="AA1626" s="15"/>
      <c r="AB1626" s="15"/>
      <c r="AC1626" s="15"/>
      <c r="AD1626" s="15"/>
      <c r="AE1626" s="15"/>
    </row>
    <row r="1627" ht="19.5" customHeight="1">
      <c r="A1627" s="15"/>
      <c r="B1627" s="15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  <c r="AA1627" s="15"/>
      <c r="AB1627" s="15"/>
      <c r="AC1627" s="15"/>
      <c r="AD1627" s="15"/>
      <c r="AE1627" s="15"/>
    </row>
    <row r="1628" ht="19.5" customHeight="1">
      <c r="A1628" s="15"/>
      <c r="B1628" s="15"/>
      <c r="C1628" s="15"/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  <c r="Y1628" s="15"/>
      <c r="Z1628" s="15"/>
      <c r="AA1628" s="15"/>
      <c r="AB1628" s="15"/>
      <c r="AC1628" s="15"/>
      <c r="AD1628" s="15"/>
      <c r="AE1628" s="15"/>
    </row>
    <row r="1629" ht="19.5" customHeight="1">
      <c r="A1629" s="15"/>
      <c r="B1629" s="15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  <c r="AD1629" s="15"/>
      <c r="AE1629" s="15"/>
    </row>
    <row r="1630" ht="19.5" customHeight="1">
      <c r="A1630" s="15"/>
      <c r="B1630" s="15"/>
      <c r="C1630" s="15"/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  <c r="AA1630" s="15"/>
      <c r="AB1630" s="15"/>
      <c r="AC1630" s="15"/>
      <c r="AD1630" s="15"/>
      <c r="AE1630" s="15"/>
    </row>
    <row r="1631" ht="19.5" customHeight="1">
      <c r="A1631" s="15"/>
      <c r="B1631" s="15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  <c r="AD1631" s="15"/>
      <c r="AE1631" s="15"/>
    </row>
    <row r="1632" ht="19.5" customHeight="1">
      <c r="A1632" s="15"/>
      <c r="B1632" s="15"/>
      <c r="C1632" s="15"/>
      <c r="D1632" s="15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</row>
    <row r="1633" ht="19.5" customHeight="1">
      <c r="A1633" s="15"/>
      <c r="B1633" s="15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  <c r="Y1633" s="15"/>
      <c r="Z1633" s="15"/>
      <c r="AA1633" s="15"/>
      <c r="AB1633" s="15"/>
      <c r="AC1633" s="15"/>
      <c r="AD1633" s="15"/>
      <c r="AE1633" s="15"/>
    </row>
    <row r="1634" ht="19.5" customHeight="1">
      <c r="A1634" s="15"/>
      <c r="B1634" s="15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  <c r="Y1634" s="15"/>
      <c r="Z1634" s="15"/>
      <c r="AA1634" s="15"/>
      <c r="AB1634" s="15"/>
      <c r="AC1634" s="15"/>
      <c r="AD1634" s="15"/>
      <c r="AE1634" s="15"/>
    </row>
    <row r="1635" ht="19.5" customHeight="1">
      <c r="A1635" s="15"/>
      <c r="B1635" s="15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  <c r="AA1635" s="15"/>
      <c r="AB1635" s="15"/>
      <c r="AC1635" s="15"/>
      <c r="AD1635" s="15"/>
      <c r="AE1635" s="15"/>
    </row>
    <row r="1636" ht="19.5" customHeight="1">
      <c r="A1636" s="15"/>
      <c r="B1636" s="15"/>
      <c r="C1636" s="15"/>
      <c r="D1636" s="15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  <c r="AA1636" s="15"/>
      <c r="AB1636" s="15"/>
      <c r="AC1636" s="15"/>
      <c r="AD1636" s="15"/>
      <c r="AE1636" s="15"/>
    </row>
    <row r="1637" ht="19.5" customHeight="1">
      <c r="A1637" s="15"/>
      <c r="B1637" s="15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  <c r="AD1637" s="15"/>
      <c r="AE1637" s="15"/>
    </row>
    <row r="1638" ht="19.5" customHeight="1">
      <c r="A1638" s="15"/>
      <c r="B1638" s="15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  <c r="AD1638" s="15"/>
      <c r="AE1638" s="15"/>
    </row>
    <row r="1639" ht="19.5" customHeight="1">
      <c r="A1639" s="15"/>
      <c r="B1639" s="15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  <c r="AA1639" s="15"/>
      <c r="AB1639" s="15"/>
      <c r="AC1639" s="15"/>
      <c r="AD1639" s="15"/>
      <c r="AE1639" s="15"/>
    </row>
    <row r="1640" ht="19.5" customHeight="1">
      <c r="A1640" s="15"/>
      <c r="B1640" s="15"/>
      <c r="C1640" s="15"/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  <c r="Y1640" s="15"/>
      <c r="Z1640" s="15"/>
      <c r="AA1640" s="15"/>
      <c r="AB1640" s="15"/>
      <c r="AC1640" s="15"/>
      <c r="AD1640" s="15"/>
      <c r="AE1640" s="15"/>
    </row>
    <row r="1641" ht="19.5" customHeight="1">
      <c r="A1641" s="15"/>
      <c r="B1641" s="15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  <c r="AA1641" s="15"/>
      <c r="AB1641" s="15"/>
      <c r="AC1641" s="15"/>
      <c r="AD1641" s="15"/>
      <c r="AE1641" s="15"/>
    </row>
    <row r="1642" ht="19.5" customHeight="1">
      <c r="A1642" s="15"/>
      <c r="B1642" s="15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  <c r="AD1642" s="15"/>
      <c r="AE1642" s="15"/>
    </row>
    <row r="1643" ht="19.5" customHeight="1">
      <c r="A1643" s="15"/>
      <c r="B1643" s="15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  <c r="AA1643" s="15"/>
      <c r="AB1643" s="15"/>
      <c r="AC1643" s="15"/>
      <c r="AD1643" s="15"/>
      <c r="AE1643" s="15"/>
    </row>
    <row r="1644" ht="19.5" customHeight="1">
      <c r="A1644" s="15"/>
      <c r="B1644" s="15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  <c r="AA1644" s="15"/>
      <c r="AB1644" s="15"/>
      <c r="AC1644" s="15"/>
      <c r="AD1644" s="15"/>
      <c r="AE1644" s="15"/>
    </row>
    <row r="1645" ht="19.5" customHeight="1">
      <c r="A1645" s="15"/>
      <c r="B1645" s="15"/>
      <c r="C1645" s="15"/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  <c r="AD1645" s="15"/>
      <c r="AE1645" s="15"/>
    </row>
    <row r="1646" ht="19.5" customHeight="1">
      <c r="A1646" s="15"/>
      <c r="B1646" s="15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  <c r="Y1646" s="15"/>
      <c r="Z1646" s="15"/>
      <c r="AA1646" s="15"/>
      <c r="AB1646" s="15"/>
      <c r="AC1646" s="15"/>
      <c r="AD1646" s="15"/>
      <c r="AE1646" s="15"/>
    </row>
    <row r="1647" ht="19.5" customHeight="1">
      <c r="A1647" s="15"/>
      <c r="B1647" s="15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</row>
    <row r="1648" ht="19.5" customHeight="1">
      <c r="A1648" s="15"/>
      <c r="B1648" s="15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  <c r="AD1648" s="15"/>
      <c r="AE1648" s="15"/>
    </row>
    <row r="1649" ht="19.5" customHeight="1">
      <c r="A1649" s="15"/>
      <c r="B1649" s="15"/>
      <c r="C1649" s="15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  <c r="Y1649" s="15"/>
      <c r="Z1649" s="15"/>
      <c r="AA1649" s="15"/>
      <c r="AB1649" s="15"/>
      <c r="AC1649" s="15"/>
      <c r="AD1649" s="15"/>
      <c r="AE1649" s="15"/>
    </row>
    <row r="1650" ht="19.5" customHeight="1">
      <c r="A1650" s="15"/>
      <c r="B1650" s="15"/>
      <c r="C1650" s="15"/>
      <c r="D1650" s="15"/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  <c r="Y1650" s="15"/>
      <c r="Z1650" s="15"/>
      <c r="AA1650" s="15"/>
      <c r="AB1650" s="15"/>
      <c r="AC1650" s="15"/>
      <c r="AD1650" s="15"/>
      <c r="AE1650" s="15"/>
    </row>
    <row r="1651" ht="19.5" customHeight="1">
      <c r="A1651" s="15"/>
      <c r="B1651" s="15"/>
      <c r="C1651" s="15"/>
      <c r="D1651" s="15"/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  <c r="AD1651" s="15"/>
      <c r="AE1651" s="15"/>
    </row>
    <row r="1652" ht="19.5" customHeight="1">
      <c r="A1652" s="15"/>
      <c r="B1652" s="15"/>
      <c r="C1652" s="15"/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  <c r="AA1652" s="15"/>
      <c r="AB1652" s="15"/>
      <c r="AC1652" s="15"/>
      <c r="AD1652" s="15"/>
      <c r="AE1652" s="15"/>
    </row>
    <row r="1653" ht="19.5" customHeight="1">
      <c r="A1653" s="15"/>
      <c r="B1653" s="15"/>
      <c r="C1653" s="15"/>
      <c r="D1653" s="15"/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  <c r="Y1653" s="15"/>
      <c r="Z1653" s="15"/>
      <c r="AA1653" s="15"/>
      <c r="AB1653" s="15"/>
      <c r="AC1653" s="15"/>
      <c r="AD1653" s="15"/>
      <c r="AE1653" s="15"/>
    </row>
    <row r="1654" ht="19.5" customHeight="1">
      <c r="A1654" s="15"/>
      <c r="B1654" s="15"/>
      <c r="C1654" s="15"/>
      <c r="D1654" s="15"/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  <c r="Y1654" s="15"/>
      <c r="Z1654" s="15"/>
      <c r="AA1654" s="15"/>
      <c r="AB1654" s="15"/>
      <c r="AC1654" s="15"/>
      <c r="AD1654" s="15"/>
      <c r="AE1654" s="15"/>
    </row>
    <row r="1655" ht="19.5" customHeight="1">
      <c r="A1655" s="15"/>
      <c r="B1655" s="15"/>
      <c r="C1655" s="15"/>
      <c r="D1655" s="15"/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  <c r="AD1655" s="15"/>
      <c r="AE1655" s="15"/>
    </row>
    <row r="1656" ht="19.5" customHeight="1">
      <c r="A1656" s="15"/>
      <c r="B1656" s="15"/>
      <c r="C1656" s="15"/>
      <c r="D1656" s="15"/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  <c r="Y1656" s="15"/>
      <c r="Z1656" s="15"/>
      <c r="AA1656" s="15"/>
      <c r="AB1656" s="15"/>
      <c r="AC1656" s="15"/>
      <c r="AD1656" s="15"/>
      <c r="AE1656" s="15"/>
    </row>
    <row r="1657" ht="19.5" customHeight="1">
      <c r="A1657" s="15"/>
      <c r="B1657" s="15"/>
      <c r="C1657" s="15"/>
      <c r="D1657" s="15"/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  <c r="AA1657" s="15"/>
      <c r="AB1657" s="15"/>
      <c r="AC1657" s="15"/>
      <c r="AD1657" s="15"/>
      <c r="AE1657" s="15"/>
    </row>
    <row r="1658" ht="19.5" customHeight="1">
      <c r="A1658" s="15"/>
      <c r="B1658" s="15"/>
      <c r="C1658" s="15"/>
      <c r="D1658" s="15"/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  <c r="Y1658" s="15"/>
      <c r="Z1658" s="15"/>
      <c r="AA1658" s="15"/>
      <c r="AB1658" s="15"/>
      <c r="AC1658" s="15"/>
      <c r="AD1658" s="15"/>
      <c r="AE1658" s="15"/>
    </row>
    <row r="1659" ht="19.5" customHeight="1">
      <c r="A1659" s="15"/>
      <c r="B1659" s="15"/>
      <c r="C1659" s="15"/>
      <c r="D1659" s="15"/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  <c r="Y1659" s="15"/>
      <c r="Z1659" s="15"/>
      <c r="AA1659" s="15"/>
      <c r="AB1659" s="15"/>
      <c r="AC1659" s="15"/>
      <c r="AD1659" s="15"/>
      <c r="AE1659" s="15"/>
    </row>
    <row r="1660" ht="19.5" customHeight="1">
      <c r="A1660" s="15"/>
      <c r="B1660" s="15"/>
      <c r="C1660" s="15"/>
      <c r="D1660" s="15"/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  <c r="Y1660" s="15"/>
      <c r="Z1660" s="15"/>
      <c r="AA1660" s="15"/>
      <c r="AB1660" s="15"/>
      <c r="AC1660" s="15"/>
      <c r="AD1660" s="15"/>
      <c r="AE1660" s="15"/>
    </row>
    <row r="1661" ht="19.5" customHeight="1">
      <c r="A1661" s="15"/>
      <c r="B1661" s="15"/>
      <c r="C1661" s="15"/>
      <c r="D1661" s="15"/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  <c r="AA1661" s="15"/>
      <c r="AB1661" s="15"/>
      <c r="AC1661" s="15"/>
      <c r="AD1661" s="15"/>
      <c r="AE1661" s="15"/>
    </row>
    <row r="1662" ht="19.5" customHeight="1">
      <c r="A1662" s="15"/>
      <c r="B1662" s="15"/>
      <c r="C1662" s="15"/>
      <c r="D1662" s="15"/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  <c r="Y1662" s="15"/>
      <c r="Z1662" s="15"/>
      <c r="AA1662" s="15"/>
      <c r="AB1662" s="15"/>
      <c r="AC1662" s="15"/>
      <c r="AD1662" s="15"/>
      <c r="AE1662" s="15"/>
    </row>
    <row r="1663" ht="19.5" customHeight="1">
      <c r="A1663" s="15"/>
      <c r="B1663" s="15"/>
      <c r="C1663" s="15"/>
      <c r="D1663" s="15"/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  <c r="AC1663" s="15"/>
      <c r="AD1663" s="15"/>
      <c r="AE1663" s="15"/>
    </row>
    <row r="1664" ht="19.5" customHeight="1">
      <c r="A1664" s="15"/>
      <c r="B1664" s="15"/>
      <c r="C1664" s="15"/>
      <c r="D1664" s="15"/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  <c r="Y1664" s="15"/>
      <c r="Z1664" s="15"/>
      <c r="AA1664" s="15"/>
      <c r="AB1664" s="15"/>
      <c r="AC1664" s="15"/>
      <c r="AD1664" s="15"/>
      <c r="AE1664" s="15"/>
    </row>
    <row r="1665" ht="19.5" customHeight="1">
      <c r="A1665" s="15"/>
      <c r="B1665" s="15"/>
      <c r="C1665" s="15"/>
      <c r="D1665" s="15"/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  <c r="AD1665" s="15"/>
      <c r="AE1665" s="15"/>
    </row>
    <row r="1666" ht="19.5" customHeight="1">
      <c r="A1666" s="15"/>
      <c r="B1666" s="15"/>
      <c r="C1666" s="15"/>
      <c r="D1666" s="15"/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  <c r="Y1666" s="15"/>
      <c r="Z1666" s="15"/>
      <c r="AA1666" s="15"/>
      <c r="AB1666" s="15"/>
      <c r="AC1666" s="15"/>
      <c r="AD1666" s="15"/>
      <c r="AE1666" s="15"/>
    </row>
    <row r="1667" ht="19.5" customHeight="1">
      <c r="A1667" s="15"/>
      <c r="B1667" s="15"/>
      <c r="C1667" s="15"/>
      <c r="D1667" s="15"/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  <c r="AA1667" s="15"/>
      <c r="AB1667" s="15"/>
      <c r="AC1667" s="15"/>
      <c r="AD1667" s="15"/>
      <c r="AE1667" s="15"/>
    </row>
    <row r="1668" ht="19.5" customHeight="1">
      <c r="A1668" s="15"/>
      <c r="B1668" s="15"/>
      <c r="C1668" s="15"/>
      <c r="D1668" s="15"/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  <c r="AD1668" s="15"/>
      <c r="AE1668" s="15"/>
    </row>
    <row r="1669" ht="19.5" customHeight="1">
      <c r="A1669" s="15"/>
      <c r="B1669" s="15"/>
      <c r="C1669" s="15"/>
      <c r="D1669" s="15"/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  <c r="Y1669" s="15"/>
      <c r="Z1669" s="15"/>
      <c r="AA1669" s="15"/>
      <c r="AB1669" s="15"/>
      <c r="AC1669" s="15"/>
      <c r="AD1669" s="15"/>
      <c r="AE1669" s="15"/>
    </row>
    <row r="1670" ht="19.5" customHeight="1">
      <c r="A1670" s="15"/>
      <c r="B1670" s="15"/>
      <c r="C1670" s="15"/>
      <c r="D1670" s="15"/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  <c r="Y1670" s="15"/>
      <c r="Z1670" s="15"/>
      <c r="AA1670" s="15"/>
      <c r="AB1670" s="15"/>
      <c r="AC1670" s="15"/>
      <c r="AD1670" s="15"/>
      <c r="AE1670" s="15"/>
    </row>
    <row r="1671" ht="19.5" customHeight="1">
      <c r="A1671" s="15"/>
      <c r="B1671" s="15"/>
      <c r="C1671" s="15"/>
      <c r="D1671" s="15"/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  <c r="AA1671" s="15"/>
      <c r="AB1671" s="15"/>
      <c r="AC1671" s="15"/>
      <c r="AD1671" s="15"/>
      <c r="AE1671" s="15"/>
    </row>
    <row r="1672" ht="19.5" customHeight="1">
      <c r="A1672" s="15"/>
      <c r="B1672" s="15"/>
      <c r="C1672" s="15"/>
      <c r="D1672" s="15"/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/>
      <c r="AB1672" s="15"/>
      <c r="AC1672" s="15"/>
      <c r="AD1672" s="15"/>
      <c r="AE1672" s="15"/>
    </row>
    <row r="1673" ht="19.5" customHeight="1">
      <c r="A1673" s="15"/>
      <c r="B1673" s="15"/>
      <c r="C1673" s="15"/>
      <c r="D1673" s="15"/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  <c r="AD1673" s="15"/>
      <c r="AE1673" s="15"/>
    </row>
    <row r="1674" ht="19.5" customHeight="1">
      <c r="A1674" s="15"/>
      <c r="B1674" s="15"/>
      <c r="C1674" s="15"/>
      <c r="D1674" s="15"/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15"/>
      <c r="AC1674" s="15"/>
      <c r="AD1674" s="15"/>
      <c r="AE1674" s="15"/>
    </row>
    <row r="1675" ht="19.5" customHeight="1">
      <c r="A1675" s="15"/>
      <c r="B1675" s="15"/>
      <c r="C1675" s="15"/>
      <c r="D1675" s="15"/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  <c r="AA1675" s="15"/>
      <c r="AB1675" s="15"/>
      <c r="AC1675" s="15"/>
      <c r="AD1675" s="15"/>
      <c r="AE1675" s="15"/>
    </row>
    <row r="1676" ht="19.5" customHeight="1">
      <c r="A1676" s="15"/>
      <c r="B1676" s="15"/>
      <c r="C1676" s="15"/>
      <c r="D1676" s="15"/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  <c r="AA1676" s="15"/>
      <c r="AB1676" s="15"/>
      <c r="AC1676" s="15"/>
      <c r="AD1676" s="15"/>
      <c r="AE1676" s="15"/>
    </row>
    <row r="1677" ht="19.5" customHeight="1">
      <c r="A1677" s="15"/>
      <c r="B1677" s="15"/>
      <c r="C1677" s="15"/>
      <c r="D1677" s="15"/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  <c r="AD1677" s="15"/>
      <c r="AE1677" s="15"/>
    </row>
    <row r="1678" ht="19.5" customHeight="1">
      <c r="A1678" s="15"/>
      <c r="B1678" s="15"/>
      <c r="C1678" s="15"/>
      <c r="D1678" s="15"/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  <c r="Y1678" s="15"/>
      <c r="Z1678" s="15"/>
      <c r="AA1678" s="15"/>
      <c r="AB1678" s="15"/>
      <c r="AC1678" s="15"/>
      <c r="AD1678" s="15"/>
      <c r="AE1678" s="15"/>
    </row>
    <row r="1679" ht="19.5" customHeight="1">
      <c r="A1679" s="15"/>
      <c r="B1679" s="15"/>
      <c r="C1679" s="15"/>
      <c r="D1679" s="15"/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  <c r="AD1679" s="15"/>
      <c r="AE1679" s="15"/>
    </row>
    <row r="1680" ht="19.5" customHeight="1">
      <c r="A1680" s="15"/>
      <c r="B1680" s="15"/>
      <c r="C1680" s="15"/>
      <c r="D1680" s="15"/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  <c r="AA1680" s="15"/>
      <c r="AB1680" s="15"/>
      <c r="AC1680" s="15"/>
      <c r="AD1680" s="15"/>
      <c r="AE1680" s="15"/>
    </row>
    <row r="1681" ht="19.5" customHeight="1">
      <c r="A1681" s="15"/>
      <c r="B1681" s="15"/>
      <c r="C1681" s="15"/>
      <c r="D1681" s="15"/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</row>
    <row r="1682" ht="19.5" customHeight="1">
      <c r="A1682" s="15"/>
      <c r="B1682" s="15"/>
      <c r="C1682" s="15"/>
      <c r="D1682" s="15"/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  <c r="Y1682" s="15"/>
      <c r="Z1682" s="15"/>
      <c r="AA1682" s="15"/>
      <c r="AB1682" s="15"/>
      <c r="AC1682" s="15"/>
      <c r="AD1682" s="15"/>
      <c r="AE1682" s="15"/>
    </row>
    <row r="1683" ht="19.5" customHeight="1">
      <c r="A1683" s="15"/>
      <c r="B1683" s="15"/>
      <c r="C1683" s="15"/>
      <c r="D1683" s="15"/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  <c r="Y1683" s="15"/>
      <c r="Z1683" s="15"/>
      <c r="AA1683" s="15"/>
      <c r="AB1683" s="15"/>
      <c r="AC1683" s="15"/>
      <c r="AD1683" s="15"/>
      <c r="AE1683" s="15"/>
    </row>
    <row r="1684" ht="19.5" customHeight="1">
      <c r="A1684" s="15"/>
      <c r="B1684" s="15"/>
      <c r="C1684" s="15"/>
      <c r="D1684" s="15"/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  <c r="AA1684" s="15"/>
      <c r="AB1684" s="15"/>
      <c r="AC1684" s="15"/>
      <c r="AD1684" s="15"/>
      <c r="AE1684" s="15"/>
    </row>
    <row r="1685" ht="19.5" customHeight="1">
      <c r="A1685" s="15"/>
      <c r="B1685" s="15"/>
      <c r="C1685" s="15"/>
      <c r="D1685" s="15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</row>
    <row r="1686" ht="19.5" customHeight="1">
      <c r="A1686" s="15"/>
      <c r="B1686" s="15"/>
      <c r="C1686" s="15"/>
      <c r="D1686" s="15"/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15"/>
      <c r="AC1686" s="15"/>
      <c r="AD1686" s="15"/>
      <c r="AE1686" s="15"/>
    </row>
    <row r="1687" ht="19.5" customHeight="1">
      <c r="A1687" s="15"/>
      <c r="B1687" s="15"/>
      <c r="C1687" s="15"/>
      <c r="D1687" s="15"/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  <c r="AA1687" s="15"/>
      <c r="AB1687" s="15"/>
      <c r="AC1687" s="15"/>
      <c r="AD1687" s="15"/>
      <c r="AE1687" s="15"/>
    </row>
    <row r="1688" ht="19.5" customHeight="1">
      <c r="A1688" s="15"/>
      <c r="B1688" s="15"/>
      <c r="C1688" s="15"/>
      <c r="D1688" s="15"/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  <c r="AA1688" s="15"/>
      <c r="AB1688" s="15"/>
      <c r="AC1688" s="15"/>
      <c r="AD1688" s="15"/>
      <c r="AE1688" s="15"/>
    </row>
    <row r="1689" ht="19.5" customHeight="1">
      <c r="A1689" s="15"/>
      <c r="B1689" s="15"/>
      <c r="C1689" s="15"/>
      <c r="D1689" s="15"/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</row>
    <row r="1690" ht="19.5" customHeight="1">
      <c r="A1690" s="15"/>
      <c r="B1690" s="15"/>
      <c r="C1690" s="15"/>
      <c r="D1690" s="15"/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</row>
    <row r="1691" ht="19.5" customHeight="1">
      <c r="A1691" s="15"/>
      <c r="B1691" s="15"/>
      <c r="C1691" s="15"/>
      <c r="D1691" s="15"/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  <c r="Y1691" s="15"/>
      <c r="Z1691" s="15"/>
      <c r="AA1691" s="15"/>
      <c r="AB1691" s="15"/>
      <c r="AC1691" s="15"/>
      <c r="AD1691" s="15"/>
      <c r="AE1691" s="15"/>
    </row>
    <row r="1692" ht="19.5" customHeight="1">
      <c r="A1692" s="15"/>
      <c r="B1692" s="15"/>
      <c r="C1692" s="15"/>
      <c r="D1692" s="15"/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  <c r="Y1692" s="15"/>
      <c r="Z1692" s="15"/>
      <c r="AA1692" s="15"/>
      <c r="AB1692" s="15"/>
      <c r="AC1692" s="15"/>
      <c r="AD1692" s="15"/>
      <c r="AE1692" s="15"/>
    </row>
    <row r="1693" ht="19.5" customHeight="1">
      <c r="A1693" s="15"/>
      <c r="B1693" s="15"/>
      <c r="C1693" s="15"/>
      <c r="D1693" s="15"/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  <c r="Y1693" s="15"/>
      <c r="Z1693" s="15"/>
      <c r="AA1693" s="15"/>
      <c r="AB1693" s="15"/>
      <c r="AC1693" s="15"/>
      <c r="AD1693" s="15"/>
      <c r="AE1693" s="15"/>
    </row>
    <row r="1694" ht="19.5" customHeight="1">
      <c r="A1694" s="15"/>
      <c r="B1694" s="15"/>
      <c r="C1694" s="15"/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  <c r="Y1694" s="15"/>
      <c r="Z1694" s="15"/>
      <c r="AA1694" s="15"/>
      <c r="AB1694" s="15"/>
      <c r="AC1694" s="15"/>
      <c r="AD1694" s="15"/>
      <c r="AE1694" s="15"/>
    </row>
    <row r="1695" ht="19.5" customHeight="1">
      <c r="A1695" s="15"/>
      <c r="B1695" s="15"/>
      <c r="C1695" s="15"/>
      <c r="D1695" s="15"/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  <c r="Y1695" s="15"/>
      <c r="Z1695" s="15"/>
      <c r="AA1695" s="15"/>
      <c r="AB1695" s="15"/>
      <c r="AC1695" s="15"/>
      <c r="AD1695" s="15"/>
      <c r="AE1695" s="15"/>
    </row>
    <row r="1696" ht="19.5" customHeight="1">
      <c r="A1696" s="15"/>
      <c r="B1696" s="15"/>
      <c r="C1696" s="15"/>
      <c r="D1696" s="15"/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  <c r="Y1696" s="15"/>
      <c r="Z1696" s="15"/>
      <c r="AA1696" s="15"/>
      <c r="AB1696" s="15"/>
      <c r="AC1696" s="15"/>
      <c r="AD1696" s="15"/>
      <c r="AE1696" s="15"/>
    </row>
    <row r="1697" ht="19.5" customHeight="1">
      <c r="A1697" s="15"/>
      <c r="B1697" s="15"/>
      <c r="C1697" s="15"/>
      <c r="D1697" s="15"/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  <c r="Y1697" s="15"/>
      <c r="Z1697" s="15"/>
      <c r="AA1697" s="15"/>
      <c r="AB1697" s="15"/>
      <c r="AC1697" s="15"/>
      <c r="AD1697" s="15"/>
      <c r="AE1697" s="15"/>
    </row>
    <row r="1698" ht="19.5" customHeight="1">
      <c r="A1698" s="15"/>
      <c r="B1698" s="15"/>
      <c r="C1698" s="15"/>
      <c r="D1698" s="15"/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  <c r="AA1698" s="15"/>
      <c r="AB1698" s="15"/>
      <c r="AC1698" s="15"/>
      <c r="AD1698" s="15"/>
      <c r="AE1698" s="15"/>
    </row>
    <row r="1699" ht="19.5" customHeight="1">
      <c r="A1699" s="15"/>
      <c r="B1699" s="15"/>
      <c r="C1699" s="15"/>
      <c r="D1699" s="15"/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  <c r="Y1699" s="15"/>
      <c r="Z1699" s="15"/>
      <c r="AA1699" s="15"/>
      <c r="AB1699" s="15"/>
      <c r="AC1699" s="15"/>
      <c r="AD1699" s="15"/>
      <c r="AE1699" s="15"/>
    </row>
    <row r="1700" ht="19.5" customHeight="1">
      <c r="A1700" s="15"/>
      <c r="B1700" s="15"/>
      <c r="C1700" s="15"/>
      <c r="D1700" s="15"/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  <c r="Y1700" s="15"/>
      <c r="Z1700" s="15"/>
      <c r="AA1700" s="15"/>
      <c r="AB1700" s="15"/>
      <c r="AC1700" s="15"/>
      <c r="AD1700" s="15"/>
      <c r="AE1700" s="15"/>
    </row>
    <row r="1701" ht="19.5" customHeight="1">
      <c r="A1701" s="15"/>
      <c r="B1701" s="15"/>
      <c r="C1701" s="15"/>
      <c r="D1701" s="15"/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  <c r="Y1701" s="15"/>
      <c r="Z1701" s="15"/>
      <c r="AA1701" s="15"/>
      <c r="AB1701" s="15"/>
      <c r="AC1701" s="15"/>
      <c r="AD1701" s="15"/>
      <c r="AE1701" s="15"/>
    </row>
    <row r="1702" ht="19.5" customHeight="1">
      <c r="A1702" s="15"/>
      <c r="B1702" s="15"/>
      <c r="C1702" s="15"/>
      <c r="D1702" s="15"/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  <c r="Y1702" s="15"/>
      <c r="Z1702" s="15"/>
      <c r="AA1702" s="15"/>
      <c r="AB1702" s="15"/>
      <c r="AC1702" s="15"/>
      <c r="AD1702" s="15"/>
      <c r="AE1702" s="15"/>
    </row>
    <row r="1703" ht="19.5" customHeight="1">
      <c r="A1703" s="15"/>
      <c r="B1703" s="15"/>
      <c r="C1703" s="15"/>
      <c r="D1703" s="15"/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  <c r="AA1703" s="15"/>
      <c r="AB1703" s="15"/>
      <c r="AC1703" s="15"/>
      <c r="AD1703" s="15"/>
      <c r="AE1703" s="15"/>
    </row>
    <row r="1704" ht="19.5" customHeight="1">
      <c r="A1704" s="15"/>
      <c r="B1704" s="15"/>
      <c r="C1704" s="15"/>
      <c r="D1704" s="15"/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  <c r="AA1704" s="15"/>
      <c r="AB1704" s="15"/>
      <c r="AC1704" s="15"/>
      <c r="AD1704" s="15"/>
      <c r="AE1704" s="15"/>
    </row>
    <row r="1705" ht="19.5" customHeight="1">
      <c r="A1705" s="15"/>
      <c r="B1705" s="15"/>
      <c r="C1705" s="15"/>
      <c r="D1705" s="15"/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  <c r="Y1705" s="15"/>
      <c r="Z1705" s="15"/>
      <c r="AA1705" s="15"/>
      <c r="AB1705" s="15"/>
      <c r="AC1705" s="15"/>
      <c r="AD1705" s="15"/>
      <c r="AE1705" s="15"/>
    </row>
    <row r="1706" ht="19.5" customHeight="1">
      <c r="A1706" s="15"/>
      <c r="B1706" s="15"/>
      <c r="C1706" s="15"/>
      <c r="D1706" s="15"/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  <c r="AA1706" s="15"/>
      <c r="AB1706" s="15"/>
      <c r="AC1706" s="15"/>
      <c r="AD1706" s="15"/>
      <c r="AE1706" s="15"/>
    </row>
    <row r="1707" ht="19.5" customHeight="1">
      <c r="A1707" s="15"/>
      <c r="B1707" s="15"/>
      <c r="C1707" s="15"/>
      <c r="D1707" s="15"/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</row>
    <row r="1708" ht="19.5" customHeight="1">
      <c r="A1708" s="15"/>
      <c r="B1708" s="15"/>
      <c r="C1708" s="15"/>
      <c r="D1708" s="15"/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  <c r="AD1708" s="15"/>
      <c r="AE1708" s="15"/>
    </row>
    <row r="1709" ht="19.5" customHeight="1">
      <c r="A1709" s="15"/>
      <c r="B1709" s="15"/>
      <c r="C1709" s="15"/>
      <c r="D1709" s="15"/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  <c r="Y1709" s="15"/>
      <c r="Z1709" s="15"/>
      <c r="AA1709" s="15"/>
      <c r="AB1709" s="15"/>
      <c r="AC1709" s="15"/>
      <c r="AD1709" s="15"/>
      <c r="AE1709" s="15"/>
    </row>
    <row r="1710" ht="19.5" customHeight="1">
      <c r="A1710" s="15"/>
      <c r="B1710" s="15"/>
      <c r="C1710" s="15"/>
      <c r="D1710" s="15"/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  <c r="Y1710" s="15"/>
      <c r="Z1710" s="15"/>
      <c r="AA1710" s="15"/>
      <c r="AB1710" s="15"/>
      <c r="AC1710" s="15"/>
      <c r="AD1710" s="15"/>
      <c r="AE1710" s="15"/>
    </row>
    <row r="1711" ht="19.5" customHeight="1">
      <c r="A1711" s="15"/>
      <c r="B1711" s="15"/>
      <c r="C1711" s="15"/>
      <c r="D1711" s="15"/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  <c r="AD1711" s="15"/>
      <c r="AE1711" s="15"/>
    </row>
    <row r="1712" ht="19.5" customHeight="1">
      <c r="A1712" s="15"/>
      <c r="B1712" s="15"/>
      <c r="C1712" s="15"/>
      <c r="D1712" s="15"/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  <c r="AA1712" s="15"/>
      <c r="AB1712" s="15"/>
      <c r="AC1712" s="15"/>
      <c r="AD1712" s="15"/>
      <c r="AE1712" s="15"/>
    </row>
    <row r="1713" ht="19.5" customHeight="1">
      <c r="A1713" s="15"/>
      <c r="B1713" s="15"/>
      <c r="C1713" s="15"/>
      <c r="D1713" s="15"/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  <c r="AD1713" s="15"/>
      <c r="AE1713" s="15"/>
    </row>
    <row r="1714" ht="19.5" customHeight="1">
      <c r="A1714" s="15"/>
      <c r="B1714" s="15"/>
      <c r="C1714" s="15"/>
      <c r="D1714" s="15"/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  <c r="AA1714" s="15"/>
      <c r="AB1714" s="15"/>
      <c r="AC1714" s="15"/>
      <c r="AD1714" s="15"/>
      <c r="AE1714" s="15"/>
    </row>
    <row r="1715" ht="19.5" customHeight="1">
      <c r="A1715" s="15"/>
      <c r="B1715" s="15"/>
      <c r="C1715" s="15"/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  <c r="AA1715" s="15"/>
      <c r="AB1715" s="15"/>
      <c r="AC1715" s="15"/>
      <c r="AD1715" s="15"/>
      <c r="AE1715" s="15"/>
    </row>
    <row r="1716" ht="19.5" customHeight="1">
      <c r="A1716" s="15"/>
      <c r="B1716" s="15"/>
      <c r="C1716" s="15"/>
      <c r="D1716" s="15"/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  <c r="AA1716" s="15"/>
      <c r="AB1716" s="15"/>
      <c r="AC1716" s="15"/>
      <c r="AD1716" s="15"/>
      <c r="AE1716" s="15"/>
    </row>
    <row r="1717" ht="19.5" customHeight="1">
      <c r="A1717" s="15"/>
      <c r="B1717" s="15"/>
      <c r="C1717" s="15"/>
      <c r="D1717" s="15"/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  <c r="AA1717" s="15"/>
      <c r="AB1717" s="15"/>
      <c r="AC1717" s="15"/>
      <c r="AD1717" s="15"/>
      <c r="AE1717" s="15"/>
    </row>
    <row r="1718" ht="19.5" customHeight="1">
      <c r="A1718" s="15"/>
      <c r="B1718" s="15"/>
      <c r="C1718" s="15"/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  <c r="AA1718" s="15"/>
      <c r="AB1718" s="15"/>
      <c r="AC1718" s="15"/>
      <c r="AD1718" s="15"/>
      <c r="AE1718" s="15"/>
    </row>
    <row r="1719" ht="19.5" customHeight="1">
      <c r="A1719" s="15"/>
      <c r="B1719" s="15"/>
      <c r="C1719" s="15"/>
      <c r="D1719" s="15"/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</row>
    <row r="1720" ht="19.5" customHeight="1">
      <c r="A1720" s="15"/>
      <c r="B1720" s="15"/>
      <c r="C1720" s="15"/>
      <c r="D1720" s="15"/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  <c r="AA1720" s="15"/>
      <c r="AB1720" s="15"/>
      <c r="AC1720" s="15"/>
      <c r="AD1720" s="15"/>
      <c r="AE1720" s="15"/>
    </row>
    <row r="1721" ht="19.5" customHeight="1">
      <c r="A1721" s="15"/>
      <c r="B1721" s="15"/>
      <c r="C1721" s="15"/>
      <c r="D1721" s="15"/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  <c r="AA1721" s="15"/>
      <c r="AB1721" s="15"/>
      <c r="AC1721" s="15"/>
      <c r="AD1721" s="15"/>
      <c r="AE1721" s="15"/>
    </row>
    <row r="1722" ht="19.5" customHeight="1">
      <c r="A1722" s="15"/>
      <c r="B1722" s="15"/>
      <c r="C1722" s="15"/>
      <c r="D1722" s="15"/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  <c r="Y1722" s="15"/>
      <c r="Z1722" s="15"/>
      <c r="AA1722" s="15"/>
      <c r="AB1722" s="15"/>
      <c r="AC1722" s="15"/>
      <c r="AD1722" s="15"/>
      <c r="AE1722" s="15"/>
    </row>
    <row r="1723" ht="19.5" customHeight="1">
      <c r="A1723" s="15"/>
      <c r="B1723" s="15"/>
      <c r="C1723" s="15"/>
      <c r="D1723" s="15"/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  <c r="Y1723" s="15"/>
      <c r="Z1723" s="15"/>
      <c r="AA1723" s="15"/>
      <c r="AB1723" s="15"/>
      <c r="AC1723" s="15"/>
      <c r="AD1723" s="15"/>
      <c r="AE1723" s="15"/>
    </row>
    <row r="1724" ht="19.5" customHeight="1">
      <c r="A1724" s="15"/>
      <c r="B1724" s="15"/>
      <c r="C1724" s="15"/>
      <c r="D1724" s="15"/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  <c r="AA1724" s="15"/>
      <c r="AB1724" s="15"/>
      <c r="AC1724" s="15"/>
      <c r="AD1724" s="15"/>
      <c r="AE1724" s="15"/>
    </row>
    <row r="1725" ht="19.5" customHeight="1">
      <c r="A1725" s="15"/>
      <c r="B1725" s="15"/>
      <c r="C1725" s="15"/>
      <c r="D1725" s="15"/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  <c r="Y1725" s="15"/>
      <c r="Z1725" s="15"/>
      <c r="AA1725" s="15"/>
      <c r="AB1725" s="15"/>
      <c r="AC1725" s="15"/>
      <c r="AD1725" s="15"/>
      <c r="AE1725" s="15"/>
    </row>
    <row r="1726" ht="19.5" customHeight="1">
      <c r="A1726" s="15"/>
      <c r="B1726" s="15"/>
      <c r="C1726" s="15"/>
      <c r="D1726" s="15"/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  <c r="Y1726" s="15"/>
      <c r="Z1726" s="15"/>
      <c r="AA1726" s="15"/>
      <c r="AB1726" s="15"/>
      <c r="AC1726" s="15"/>
      <c r="AD1726" s="15"/>
      <c r="AE1726" s="15"/>
    </row>
    <row r="1727" ht="19.5" customHeight="1">
      <c r="A1727" s="15"/>
      <c r="B1727" s="15"/>
      <c r="C1727" s="15"/>
      <c r="D1727" s="15"/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</row>
    <row r="1728" ht="19.5" customHeight="1">
      <c r="A1728" s="15"/>
      <c r="B1728" s="15"/>
      <c r="C1728" s="15"/>
      <c r="D1728" s="15"/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  <c r="Y1728" s="15"/>
      <c r="Z1728" s="15"/>
      <c r="AA1728" s="15"/>
      <c r="AB1728" s="15"/>
      <c r="AC1728" s="15"/>
      <c r="AD1728" s="15"/>
      <c r="AE1728" s="15"/>
    </row>
    <row r="1729" ht="19.5" customHeight="1">
      <c r="A1729" s="15"/>
      <c r="B1729" s="15"/>
      <c r="C1729" s="15"/>
      <c r="D1729" s="15"/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/>
      <c r="AB1729" s="15"/>
      <c r="AC1729" s="15"/>
      <c r="AD1729" s="15"/>
      <c r="AE1729" s="15"/>
    </row>
    <row r="1730" ht="19.5" customHeight="1">
      <c r="A1730" s="15"/>
      <c r="B1730" s="15"/>
      <c r="C1730" s="15"/>
      <c r="D1730" s="15"/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  <c r="AD1730" s="15"/>
      <c r="AE1730" s="15"/>
    </row>
    <row r="1731" ht="19.5" customHeight="1">
      <c r="A1731" s="15"/>
      <c r="B1731" s="15"/>
      <c r="C1731" s="15"/>
      <c r="D1731" s="15"/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  <c r="Y1731" s="15"/>
      <c r="Z1731" s="15"/>
      <c r="AA1731" s="15"/>
      <c r="AB1731" s="15"/>
      <c r="AC1731" s="15"/>
      <c r="AD1731" s="15"/>
      <c r="AE1731" s="15"/>
    </row>
    <row r="1732" ht="19.5" customHeight="1">
      <c r="A1732" s="15"/>
      <c r="B1732" s="15"/>
      <c r="C1732" s="15"/>
      <c r="D1732" s="15"/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</row>
    <row r="1733" ht="19.5" customHeight="1">
      <c r="A1733" s="15"/>
      <c r="B1733" s="15"/>
      <c r="C1733" s="15"/>
      <c r="D1733" s="15"/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  <c r="AD1733" s="15"/>
      <c r="AE1733" s="15"/>
    </row>
    <row r="1734" ht="19.5" customHeight="1">
      <c r="A1734" s="15"/>
      <c r="B1734" s="15"/>
      <c r="C1734" s="15"/>
      <c r="D1734" s="15"/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  <c r="Y1734" s="15"/>
      <c r="Z1734" s="15"/>
      <c r="AA1734" s="15"/>
      <c r="AB1734" s="15"/>
      <c r="AC1734" s="15"/>
      <c r="AD1734" s="15"/>
      <c r="AE1734" s="15"/>
    </row>
    <row r="1735" ht="19.5" customHeight="1">
      <c r="A1735" s="15"/>
      <c r="B1735" s="15"/>
      <c r="C1735" s="15"/>
      <c r="D1735" s="15"/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</row>
    <row r="1736" ht="19.5" customHeight="1">
      <c r="A1736" s="15"/>
      <c r="B1736" s="15"/>
      <c r="C1736" s="15"/>
      <c r="D1736" s="15"/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  <c r="Y1736" s="15"/>
      <c r="Z1736" s="15"/>
      <c r="AA1736" s="15"/>
      <c r="AB1736" s="15"/>
      <c r="AC1736" s="15"/>
      <c r="AD1736" s="15"/>
      <c r="AE1736" s="15"/>
    </row>
    <row r="1737" ht="19.5" customHeight="1">
      <c r="A1737" s="15"/>
      <c r="B1737" s="15"/>
      <c r="C1737" s="15"/>
      <c r="D1737" s="15"/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</row>
    <row r="1738" ht="19.5" customHeight="1">
      <c r="A1738" s="15"/>
      <c r="B1738" s="15"/>
      <c r="C1738" s="15"/>
      <c r="D1738" s="15"/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</row>
    <row r="1739" ht="19.5" customHeight="1">
      <c r="A1739" s="15"/>
      <c r="B1739" s="15"/>
      <c r="C1739" s="15"/>
      <c r="D1739" s="15"/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/>
      <c r="AB1739" s="15"/>
      <c r="AC1739" s="15"/>
      <c r="AD1739" s="15"/>
      <c r="AE1739" s="15"/>
    </row>
    <row r="1740" ht="19.5" customHeight="1">
      <c r="A1740" s="15"/>
      <c r="B1740" s="15"/>
      <c r="C1740" s="15"/>
      <c r="D1740" s="15"/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  <c r="Y1740" s="15"/>
      <c r="Z1740" s="15"/>
      <c r="AA1740" s="15"/>
      <c r="AB1740" s="15"/>
      <c r="AC1740" s="15"/>
      <c r="AD1740" s="15"/>
      <c r="AE1740" s="15"/>
    </row>
    <row r="1741" ht="19.5" customHeight="1">
      <c r="A1741" s="15"/>
      <c r="B1741" s="15"/>
      <c r="C1741" s="15"/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  <c r="Y1741" s="15"/>
      <c r="Z1741" s="15"/>
      <c r="AA1741" s="15"/>
      <c r="AB1741" s="15"/>
      <c r="AC1741" s="15"/>
      <c r="AD1741" s="15"/>
      <c r="AE1741" s="15"/>
    </row>
    <row r="1742" ht="19.5" customHeight="1">
      <c r="A1742" s="15"/>
      <c r="B1742" s="15"/>
      <c r="C1742" s="15"/>
      <c r="D1742" s="15"/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  <c r="AD1742" s="15"/>
      <c r="AE1742" s="15"/>
    </row>
    <row r="1743" ht="19.5" customHeight="1">
      <c r="A1743" s="15"/>
      <c r="B1743" s="15"/>
      <c r="C1743" s="15"/>
      <c r="D1743" s="15"/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  <c r="Y1743" s="15"/>
      <c r="Z1743" s="15"/>
      <c r="AA1743" s="15"/>
      <c r="AB1743" s="15"/>
      <c r="AC1743" s="15"/>
      <c r="AD1743" s="15"/>
      <c r="AE1743" s="15"/>
    </row>
    <row r="1744" ht="19.5" customHeight="1">
      <c r="A1744" s="15"/>
      <c r="B1744" s="15"/>
      <c r="C1744" s="15"/>
      <c r="D1744" s="15"/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</row>
    <row r="1745" ht="19.5" customHeight="1">
      <c r="A1745" s="15"/>
      <c r="B1745" s="15"/>
      <c r="C1745" s="15"/>
      <c r="D1745" s="15"/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</row>
    <row r="1746" ht="19.5" customHeight="1">
      <c r="A1746" s="15"/>
      <c r="B1746" s="15"/>
      <c r="C1746" s="15"/>
      <c r="D1746" s="15"/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</row>
    <row r="1747" ht="19.5" customHeight="1">
      <c r="A1747" s="15"/>
      <c r="B1747" s="15"/>
      <c r="C1747" s="15"/>
      <c r="D1747" s="15"/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</row>
    <row r="1748" ht="19.5" customHeight="1">
      <c r="A1748" s="15"/>
      <c r="B1748" s="15"/>
      <c r="C1748" s="15"/>
      <c r="D1748" s="15"/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  <c r="AA1748" s="15"/>
      <c r="AB1748" s="15"/>
      <c r="AC1748" s="15"/>
      <c r="AD1748" s="15"/>
      <c r="AE1748" s="15"/>
    </row>
    <row r="1749" ht="19.5" customHeight="1">
      <c r="A1749" s="15"/>
      <c r="B1749" s="15"/>
      <c r="C1749" s="15"/>
      <c r="D1749" s="15"/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</row>
    <row r="1750" ht="19.5" customHeight="1">
      <c r="A1750" s="15"/>
      <c r="B1750" s="15"/>
      <c r="C1750" s="15"/>
      <c r="D1750" s="15"/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</row>
    <row r="1751" ht="19.5" customHeight="1">
      <c r="A1751" s="15"/>
      <c r="B1751" s="15"/>
      <c r="C1751" s="15"/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</row>
    <row r="1752" ht="19.5" customHeight="1">
      <c r="A1752" s="15"/>
      <c r="B1752" s="15"/>
      <c r="C1752" s="15"/>
      <c r="D1752" s="15"/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</row>
    <row r="1753" ht="19.5" customHeight="1">
      <c r="A1753" s="15"/>
      <c r="B1753" s="15"/>
      <c r="C1753" s="15"/>
      <c r="D1753" s="15"/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</row>
    <row r="1754" ht="19.5" customHeight="1">
      <c r="A1754" s="15"/>
      <c r="B1754" s="15"/>
      <c r="C1754" s="15"/>
      <c r="D1754" s="15"/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  <c r="AD1754" s="15"/>
      <c r="AE1754" s="15"/>
    </row>
    <row r="1755" ht="19.5" customHeight="1">
      <c r="A1755" s="15"/>
      <c r="B1755" s="15"/>
      <c r="C1755" s="15"/>
      <c r="D1755" s="15"/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/>
      <c r="AB1755" s="15"/>
      <c r="AC1755" s="15"/>
      <c r="AD1755" s="15"/>
      <c r="AE1755" s="15"/>
    </row>
    <row r="1756" ht="19.5" customHeight="1">
      <c r="A1756" s="15"/>
      <c r="B1756" s="15"/>
      <c r="C1756" s="15"/>
      <c r="D1756" s="15"/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</row>
    <row r="1757" ht="19.5" customHeight="1">
      <c r="A1757" s="15"/>
      <c r="B1757" s="15"/>
      <c r="C1757" s="15"/>
      <c r="D1757" s="15"/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</row>
    <row r="1758" ht="19.5" customHeight="1">
      <c r="A1758" s="15"/>
      <c r="B1758" s="15"/>
      <c r="C1758" s="15"/>
      <c r="D1758" s="15"/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  <c r="X1758" s="15"/>
      <c r="Y1758" s="15"/>
      <c r="Z1758" s="15"/>
      <c r="AA1758" s="15"/>
      <c r="AB1758" s="15"/>
      <c r="AC1758" s="15"/>
      <c r="AD1758" s="15"/>
      <c r="AE1758" s="15"/>
    </row>
    <row r="1759" ht="19.5" customHeight="1">
      <c r="A1759" s="15"/>
      <c r="B1759" s="15"/>
      <c r="C1759" s="15"/>
      <c r="D1759" s="15"/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</row>
    <row r="1760" ht="19.5" customHeight="1">
      <c r="A1760" s="15"/>
      <c r="B1760" s="15"/>
      <c r="C1760" s="15"/>
      <c r="D1760" s="15"/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  <c r="AD1760" s="15"/>
      <c r="AE1760" s="15"/>
    </row>
    <row r="1761" ht="19.5" customHeight="1">
      <c r="A1761" s="15"/>
      <c r="B1761" s="15"/>
      <c r="C1761" s="15"/>
      <c r="D1761" s="15"/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5"/>
      <c r="AD1761" s="15"/>
      <c r="AE1761" s="15"/>
    </row>
    <row r="1762" ht="19.5" customHeight="1">
      <c r="A1762" s="15"/>
      <c r="B1762" s="15"/>
      <c r="C1762" s="15"/>
      <c r="D1762" s="15"/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  <c r="X1762" s="15"/>
      <c r="Y1762" s="15"/>
      <c r="Z1762" s="15"/>
      <c r="AA1762" s="15"/>
      <c r="AB1762" s="15"/>
      <c r="AC1762" s="15"/>
      <c r="AD1762" s="15"/>
      <c r="AE1762" s="15"/>
    </row>
    <row r="1763" ht="19.5" customHeight="1">
      <c r="A1763" s="15"/>
      <c r="B1763" s="15"/>
      <c r="C1763" s="15"/>
      <c r="D1763" s="15"/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  <c r="X1763" s="15"/>
      <c r="Y1763" s="15"/>
      <c r="Z1763" s="15"/>
      <c r="AA1763" s="15"/>
      <c r="AB1763" s="15"/>
      <c r="AC1763" s="15"/>
      <c r="AD1763" s="15"/>
      <c r="AE1763" s="15"/>
    </row>
    <row r="1764" ht="19.5" customHeight="1">
      <c r="A1764" s="15"/>
      <c r="B1764" s="15"/>
      <c r="C1764" s="15"/>
      <c r="D1764" s="15"/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/>
      <c r="AC1764" s="15"/>
      <c r="AD1764" s="15"/>
      <c r="AE1764" s="15"/>
    </row>
    <row r="1765" ht="19.5" customHeight="1">
      <c r="A1765" s="15"/>
      <c r="B1765" s="15"/>
      <c r="C1765" s="15"/>
      <c r="D1765" s="15"/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</row>
    <row r="1766" ht="19.5" customHeight="1">
      <c r="A1766" s="15"/>
      <c r="B1766" s="15"/>
      <c r="C1766" s="15"/>
      <c r="D1766" s="15"/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/>
      <c r="AB1766" s="15"/>
      <c r="AC1766" s="15"/>
      <c r="AD1766" s="15"/>
      <c r="AE1766" s="15"/>
    </row>
    <row r="1767" ht="19.5" customHeight="1">
      <c r="A1767" s="15"/>
      <c r="B1767" s="15"/>
      <c r="C1767" s="15"/>
      <c r="D1767" s="15"/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  <c r="AC1767" s="15"/>
      <c r="AD1767" s="15"/>
      <c r="AE1767" s="15"/>
    </row>
    <row r="1768" ht="19.5" customHeight="1">
      <c r="A1768" s="15"/>
      <c r="B1768" s="15"/>
      <c r="C1768" s="15"/>
      <c r="D1768" s="15"/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  <c r="AC1768" s="15"/>
      <c r="AD1768" s="15"/>
      <c r="AE1768" s="15"/>
    </row>
    <row r="1769" ht="19.5" customHeight="1">
      <c r="A1769" s="15"/>
      <c r="B1769" s="15"/>
      <c r="C1769" s="15"/>
      <c r="D1769" s="15"/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  <c r="AC1769" s="15"/>
      <c r="AD1769" s="15"/>
      <c r="AE1769" s="15"/>
    </row>
    <row r="1770" ht="19.5" customHeight="1">
      <c r="A1770" s="15"/>
      <c r="B1770" s="15"/>
      <c r="C1770" s="15"/>
      <c r="D1770" s="15"/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  <c r="AC1770" s="15"/>
      <c r="AD1770" s="15"/>
      <c r="AE1770" s="15"/>
    </row>
    <row r="1771" ht="19.5" customHeight="1">
      <c r="A1771" s="15"/>
      <c r="B1771" s="15"/>
      <c r="C1771" s="15"/>
      <c r="D1771" s="15"/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  <c r="AD1771" s="15"/>
      <c r="AE1771" s="15"/>
    </row>
    <row r="1772" ht="19.5" customHeight="1">
      <c r="A1772" s="15"/>
      <c r="B1772" s="15"/>
      <c r="C1772" s="15"/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</row>
    <row r="1773" ht="19.5" customHeight="1">
      <c r="A1773" s="15"/>
      <c r="B1773" s="15"/>
      <c r="C1773" s="15"/>
      <c r="D1773" s="15"/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  <c r="AD1773" s="15"/>
      <c r="AE1773" s="15"/>
    </row>
    <row r="1774" ht="19.5" customHeight="1">
      <c r="A1774" s="15"/>
      <c r="B1774" s="15"/>
      <c r="C1774" s="15"/>
      <c r="D1774" s="15"/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  <c r="AD1774" s="15"/>
      <c r="AE1774" s="15"/>
    </row>
    <row r="1775" ht="19.5" customHeight="1">
      <c r="A1775" s="15"/>
      <c r="B1775" s="15"/>
      <c r="C1775" s="15"/>
      <c r="D1775" s="15"/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  <c r="AD1775" s="15"/>
      <c r="AE1775" s="15"/>
    </row>
    <row r="1776" ht="19.5" customHeight="1">
      <c r="A1776" s="15"/>
      <c r="B1776" s="15"/>
      <c r="C1776" s="15"/>
      <c r="D1776" s="15"/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  <c r="AD1776" s="15"/>
      <c r="AE1776" s="15"/>
    </row>
    <row r="1777" ht="19.5" customHeight="1">
      <c r="A1777" s="15"/>
      <c r="B1777" s="15"/>
      <c r="C1777" s="15"/>
      <c r="D1777" s="15"/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  <c r="AA1777" s="15"/>
      <c r="AB1777" s="15"/>
      <c r="AC1777" s="15"/>
      <c r="AD1777" s="15"/>
      <c r="AE1777" s="15"/>
    </row>
    <row r="1778" ht="19.5" customHeight="1">
      <c r="A1778" s="15"/>
      <c r="B1778" s="15"/>
      <c r="C1778" s="15"/>
      <c r="D1778" s="15"/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  <c r="X1778" s="15"/>
      <c r="Y1778" s="15"/>
      <c r="Z1778" s="15"/>
      <c r="AA1778" s="15"/>
      <c r="AB1778" s="15"/>
      <c r="AC1778" s="15"/>
      <c r="AD1778" s="15"/>
      <c r="AE1778" s="15"/>
    </row>
    <row r="1779" ht="19.5" customHeight="1">
      <c r="A1779" s="15"/>
      <c r="B1779" s="15"/>
      <c r="C1779" s="15"/>
      <c r="D1779" s="15"/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  <c r="AD1779" s="15"/>
      <c r="AE1779" s="15"/>
    </row>
    <row r="1780" ht="19.5" customHeight="1">
      <c r="A1780" s="15"/>
      <c r="B1780" s="15"/>
      <c r="C1780" s="15"/>
      <c r="D1780" s="15"/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  <c r="X1780" s="15"/>
      <c r="Y1780" s="15"/>
      <c r="Z1780" s="15"/>
      <c r="AA1780" s="15"/>
      <c r="AB1780" s="15"/>
      <c r="AC1780" s="15"/>
      <c r="AD1780" s="15"/>
      <c r="AE1780" s="15"/>
    </row>
    <row r="1781" ht="19.5" customHeight="1">
      <c r="A1781" s="15"/>
      <c r="B1781" s="15"/>
      <c r="C1781" s="15"/>
      <c r="D1781" s="15"/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  <c r="AD1781" s="15"/>
      <c r="AE1781" s="15"/>
    </row>
    <row r="1782" ht="19.5" customHeight="1">
      <c r="A1782" s="15"/>
      <c r="B1782" s="15"/>
      <c r="C1782" s="15"/>
      <c r="D1782" s="15"/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  <c r="X1782" s="15"/>
      <c r="Y1782" s="15"/>
      <c r="Z1782" s="15"/>
      <c r="AA1782" s="15"/>
      <c r="AB1782" s="15"/>
      <c r="AC1782" s="15"/>
      <c r="AD1782" s="15"/>
      <c r="AE1782" s="15"/>
    </row>
    <row r="1783" ht="19.5" customHeight="1">
      <c r="A1783" s="15"/>
      <c r="B1783" s="15"/>
      <c r="C1783" s="15"/>
      <c r="D1783" s="15"/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5"/>
      <c r="AD1783" s="15"/>
      <c r="AE1783" s="15"/>
    </row>
    <row r="1784" ht="19.5" customHeight="1">
      <c r="A1784" s="15"/>
      <c r="B1784" s="15"/>
      <c r="C1784" s="15"/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  <c r="X1784" s="15"/>
      <c r="Y1784" s="15"/>
      <c r="Z1784" s="15"/>
      <c r="AA1784" s="15"/>
      <c r="AB1784" s="15"/>
      <c r="AC1784" s="15"/>
      <c r="AD1784" s="15"/>
      <c r="AE1784" s="15"/>
    </row>
    <row r="1785" ht="19.5" customHeight="1">
      <c r="A1785" s="15"/>
      <c r="B1785" s="15"/>
      <c r="C1785" s="15"/>
      <c r="D1785" s="15"/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  <c r="AD1785" s="15"/>
      <c r="AE1785" s="15"/>
    </row>
    <row r="1786" ht="19.5" customHeight="1">
      <c r="A1786" s="15"/>
      <c r="B1786" s="15"/>
      <c r="C1786" s="15"/>
      <c r="D1786" s="15"/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  <c r="X1786" s="15"/>
      <c r="Y1786" s="15"/>
      <c r="Z1786" s="15"/>
      <c r="AA1786" s="15"/>
      <c r="AB1786" s="15"/>
      <c r="AC1786" s="15"/>
      <c r="AD1786" s="15"/>
      <c r="AE1786" s="15"/>
    </row>
    <row r="1787" ht="19.5" customHeight="1">
      <c r="A1787" s="15"/>
      <c r="B1787" s="15"/>
      <c r="C1787" s="15"/>
      <c r="D1787" s="15"/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  <c r="X1787" s="15"/>
      <c r="Y1787" s="15"/>
      <c r="Z1787" s="15"/>
      <c r="AA1787" s="15"/>
      <c r="AB1787" s="15"/>
      <c r="AC1787" s="15"/>
      <c r="AD1787" s="15"/>
      <c r="AE1787" s="15"/>
    </row>
    <row r="1788" ht="19.5" customHeight="1">
      <c r="A1788" s="15"/>
      <c r="B1788" s="15"/>
      <c r="C1788" s="15"/>
      <c r="D1788" s="15"/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/>
      <c r="AB1788" s="15"/>
      <c r="AC1788" s="15"/>
      <c r="AD1788" s="15"/>
      <c r="AE1788" s="15"/>
    </row>
    <row r="1789" ht="19.5" customHeight="1">
      <c r="A1789" s="15"/>
      <c r="B1789" s="15"/>
      <c r="C1789" s="15"/>
      <c r="D1789" s="15"/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/>
      <c r="AB1789" s="15"/>
      <c r="AC1789" s="15"/>
      <c r="AD1789" s="15"/>
      <c r="AE1789" s="15"/>
    </row>
    <row r="1790" ht="19.5" customHeight="1">
      <c r="A1790" s="15"/>
      <c r="B1790" s="15"/>
      <c r="C1790" s="15"/>
      <c r="D1790" s="15"/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  <c r="AA1790" s="15"/>
      <c r="AB1790" s="15"/>
      <c r="AC1790" s="15"/>
      <c r="AD1790" s="15"/>
      <c r="AE1790" s="15"/>
    </row>
    <row r="1791" ht="19.5" customHeight="1">
      <c r="A1791" s="15"/>
      <c r="B1791" s="15"/>
      <c r="C1791" s="15"/>
      <c r="D1791" s="15"/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5"/>
      <c r="AB1791" s="15"/>
      <c r="AC1791" s="15"/>
      <c r="AD1791" s="15"/>
      <c r="AE1791" s="15"/>
    </row>
    <row r="1792" ht="19.5" customHeight="1">
      <c r="A1792" s="15"/>
      <c r="B1792" s="15"/>
      <c r="C1792" s="15"/>
      <c r="D1792" s="15"/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  <c r="AA1792" s="15"/>
      <c r="AB1792" s="15"/>
      <c r="AC1792" s="15"/>
      <c r="AD1792" s="15"/>
      <c r="AE1792" s="15"/>
    </row>
    <row r="1793" ht="19.5" customHeight="1">
      <c r="A1793" s="15"/>
      <c r="B1793" s="15"/>
      <c r="C1793" s="15"/>
      <c r="D1793" s="15"/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  <c r="AD1793" s="15"/>
      <c r="AE1793" s="15"/>
    </row>
    <row r="1794" ht="19.5" customHeight="1">
      <c r="A1794" s="15"/>
      <c r="B1794" s="15"/>
      <c r="C1794" s="15"/>
      <c r="D1794" s="15"/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  <c r="X1794" s="15"/>
      <c r="Y1794" s="15"/>
      <c r="Z1794" s="15"/>
      <c r="AA1794" s="15"/>
      <c r="AB1794" s="15"/>
      <c r="AC1794" s="15"/>
      <c r="AD1794" s="15"/>
      <c r="AE1794" s="15"/>
    </row>
    <row r="1795" ht="19.5" customHeight="1">
      <c r="A1795" s="15"/>
      <c r="B1795" s="15"/>
      <c r="C1795" s="15"/>
      <c r="D1795" s="15"/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</row>
    <row r="1796" ht="19.5" customHeight="1">
      <c r="A1796" s="15"/>
      <c r="B1796" s="15"/>
      <c r="C1796" s="15"/>
      <c r="D1796" s="15"/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  <c r="AD1796" s="15"/>
      <c r="AE1796" s="15"/>
    </row>
    <row r="1797" ht="19.5" customHeight="1">
      <c r="A1797" s="15"/>
      <c r="B1797" s="15"/>
      <c r="C1797" s="15"/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  <c r="AC1797" s="15"/>
      <c r="AD1797" s="15"/>
      <c r="AE1797" s="15"/>
    </row>
    <row r="1798" ht="19.5" customHeight="1">
      <c r="A1798" s="15"/>
      <c r="B1798" s="15"/>
      <c r="C1798" s="15"/>
      <c r="D1798" s="15"/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  <c r="AC1798" s="15"/>
      <c r="AD1798" s="15"/>
      <c r="AE1798" s="15"/>
    </row>
    <row r="1799" ht="19.5" customHeight="1">
      <c r="A1799" s="15"/>
      <c r="B1799" s="15"/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  <c r="AD1799" s="15"/>
      <c r="AE1799" s="15"/>
    </row>
    <row r="1800" ht="19.5" customHeight="1">
      <c r="A1800" s="15"/>
      <c r="B1800" s="15"/>
      <c r="C1800" s="15"/>
      <c r="D1800" s="15"/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  <c r="AD1800" s="15"/>
      <c r="AE1800" s="15"/>
    </row>
    <row r="1801" ht="19.5" customHeight="1">
      <c r="A1801" s="15"/>
      <c r="B1801" s="15"/>
      <c r="C1801" s="15"/>
      <c r="D1801" s="15"/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  <c r="AD1801" s="15"/>
      <c r="AE1801" s="15"/>
    </row>
    <row r="1802" ht="19.5" customHeight="1">
      <c r="A1802" s="15"/>
      <c r="B1802" s="15"/>
      <c r="C1802" s="15"/>
      <c r="D1802" s="15"/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  <c r="AC1802" s="15"/>
      <c r="AD1802" s="15"/>
      <c r="AE1802" s="15"/>
    </row>
    <row r="1803" ht="19.5" customHeight="1">
      <c r="A1803" s="15"/>
      <c r="B1803" s="15"/>
      <c r="C1803" s="15"/>
      <c r="D1803" s="15"/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  <c r="AD1803" s="15"/>
      <c r="AE1803" s="15"/>
    </row>
    <row r="1804" ht="19.5" customHeight="1">
      <c r="A1804" s="15"/>
      <c r="B1804" s="15"/>
      <c r="C1804" s="15"/>
      <c r="D1804" s="15"/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  <c r="AD1804" s="15"/>
      <c r="AE1804" s="15"/>
    </row>
    <row r="1805" ht="19.5" customHeight="1">
      <c r="A1805" s="15"/>
      <c r="B1805" s="15"/>
      <c r="C1805" s="15"/>
      <c r="D1805" s="15"/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5"/>
    </row>
    <row r="1806" ht="19.5" customHeight="1">
      <c r="A1806" s="15"/>
      <c r="B1806" s="15"/>
      <c r="C1806" s="15"/>
      <c r="D1806" s="15"/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  <c r="X1806" s="15"/>
      <c r="Y1806" s="15"/>
      <c r="Z1806" s="15"/>
      <c r="AA1806" s="15"/>
      <c r="AB1806" s="15"/>
      <c r="AC1806" s="15"/>
      <c r="AD1806" s="15"/>
      <c r="AE1806" s="15"/>
    </row>
    <row r="1807" ht="19.5" customHeight="1">
      <c r="A1807" s="15"/>
      <c r="B1807" s="15"/>
      <c r="C1807" s="15"/>
      <c r="D1807" s="15"/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  <c r="AD1807" s="15"/>
      <c r="AE1807" s="15"/>
    </row>
    <row r="1808" ht="19.5" customHeight="1">
      <c r="A1808" s="15"/>
      <c r="B1808" s="15"/>
      <c r="C1808" s="15"/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  <c r="AD1808" s="15"/>
      <c r="AE1808" s="15"/>
    </row>
    <row r="1809" ht="19.5" customHeight="1">
      <c r="A1809" s="15"/>
      <c r="B1809" s="15"/>
      <c r="C1809" s="15"/>
      <c r="D1809" s="15"/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</row>
    <row r="1810" ht="19.5" customHeight="1">
      <c r="A1810" s="15"/>
      <c r="B1810" s="15"/>
      <c r="C1810" s="15"/>
      <c r="D1810" s="15"/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</row>
    <row r="1811" ht="19.5" customHeight="1">
      <c r="A1811" s="15"/>
      <c r="B1811" s="15"/>
      <c r="C1811" s="15"/>
      <c r="D1811" s="15"/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</row>
    <row r="1812" ht="19.5" customHeight="1">
      <c r="A1812" s="15"/>
      <c r="B1812" s="15"/>
      <c r="C1812" s="15"/>
      <c r="D1812" s="15"/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  <c r="AD1812" s="15"/>
      <c r="AE1812" s="15"/>
    </row>
    <row r="1813" ht="19.5" customHeight="1">
      <c r="A1813" s="15"/>
      <c r="B1813" s="15"/>
      <c r="C1813" s="15"/>
      <c r="D1813" s="15"/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</row>
    <row r="1814" ht="19.5" customHeight="1">
      <c r="A1814" s="15"/>
      <c r="B1814" s="15"/>
      <c r="C1814" s="15"/>
      <c r="D1814" s="15"/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  <c r="X1814" s="15"/>
      <c r="Y1814" s="15"/>
      <c r="Z1814" s="15"/>
      <c r="AA1814" s="15"/>
      <c r="AB1814" s="15"/>
      <c r="AC1814" s="15"/>
      <c r="AD1814" s="15"/>
      <c r="AE1814" s="15"/>
    </row>
    <row r="1815" ht="19.5" customHeight="1">
      <c r="A1815" s="15"/>
      <c r="B1815" s="15"/>
      <c r="C1815" s="15"/>
      <c r="D1815" s="15"/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  <c r="AD1815" s="15"/>
      <c r="AE1815" s="15"/>
    </row>
    <row r="1816" ht="19.5" customHeight="1">
      <c r="A1816" s="15"/>
      <c r="B1816" s="15"/>
      <c r="C1816" s="15"/>
      <c r="D1816" s="15"/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  <c r="X1816" s="15"/>
      <c r="Y1816" s="15"/>
      <c r="Z1816" s="15"/>
      <c r="AA1816" s="15"/>
      <c r="AB1816" s="15"/>
      <c r="AC1816" s="15"/>
      <c r="AD1816" s="15"/>
      <c r="AE1816" s="15"/>
    </row>
    <row r="1817" ht="19.5" customHeight="1">
      <c r="A1817" s="15"/>
      <c r="B1817" s="15"/>
      <c r="C1817" s="15"/>
      <c r="D1817" s="15"/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  <c r="AD1817" s="15"/>
      <c r="AE1817" s="15"/>
    </row>
    <row r="1818" ht="19.5" customHeight="1">
      <c r="A1818" s="15"/>
      <c r="B1818" s="15"/>
      <c r="C1818" s="15"/>
      <c r="D1818" s="15"/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  <c r="AA1818" s="15"/>
      <c r="AB1818" s="15"/>
      <c r="AC1818" s="15"/>
      <c r="AD1818" s="15"/>
      <c r="AE1818" s="15"/>
    </row>
    <row r="1819" ht="19.5" customHeight="1">
      <c r="A1819" s="15"/>
      <c r="B1819" s="15"/>
      <c r="C1819" s="15"/>
      <c r="D1819" s="15"/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  <c r="AD1819" s="15"/>
      <c r="AE1819" s="15"/>
    </row>
    <row r="1820" ht="19.5" customHeight="1">
      <c r="A1820" s="15"/>
      <c r="B1820" s="15"/>
      <c r="C1820" s="15"/>
      <c r="D1820" s="15"/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  <c r="X1820" s="15"/>
      <c r="Y1820" s="15"/>
      <c r="Z1820" s="15"/>
      <c r="AA1820" s="15"/>
      <c r="AB1820" s="15"/>
      <c r="AC1820" s="15"/>
      <c r="AD1820" s="15"/>
      <c r="AE1820" s="15"/>
    </row>
    <row r="1821" ht="19.5" customHeight="1">
      <c r="A1821" s="15"/>
      <c r="B1821" s="15"/>
      <c r="C1821" s="15"/>
      <c r="D1821" s="15"/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  <c r="AA1821" s="15"/>
      <c r="AB1821" s="15"/>
      <c r="AC1821" s="15"/>
      <c r="AD1821" s="15"/>
      <c r="AE1821" s="15"/>
    </row>
    <row r="1822" ht="19.5" customHeight="1">
      <c r="A1822" s="15"/>
      <c r="B1822" s="15"/>
      <c r="C1822" s="15"/>
      <c r="D1822" s="15"/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  <c r="AA1822" s="15"/>
      <c r="AB1822" s="15"/>
      <c r="AC1822" s="15"/>
      <c r="AD1822" s="15"/>
      <c r="AE1822" s="15"/>
    </row>
    <row r="1823" ht="19.5" customHeight="1">
      <c r="A1823" s="15"/>
      <c r="B1823" s="15"/>
      <c r="C1823" s="15"/>
      <c r="D1823" s="15"/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  <c r="AA1823" s="15"/>
      <c r="AB1823" s="15"/>
      <c r="AC1823" s="15"/>
      <c r="AD1823" s="15"/>
      <c r="AE1823" s="15"/>
    </row>
    <row r="1824" ht="19.5" customHeight="1">
      <c r="A1824" s="15"/>
      <c r="B1824" s="15"/>
      <c r="C1824" s="15"/>
      <c r="D1824" s="15"/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  <c r="AD1824" s="15"/>
      <c r="AE1824" s="15"/>
    </row>
    <row r="1825" ht="19.5" customHeight="1">
      <c r="A1825" s="15"/>
      <c r="B1825" s="15"/>
      <c r="C1825" s="15"/>
      <c r="D1825" s="15"/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  <c r="AD1825" s="15"/>
      <c r="AE1825" s="15"/>
    </row>
    <row r="1826" ht="19.5" customHeight="1">
      <c r="A1826" s="15"/>
      <c r="B1826" s="15"/>
      <c r="C1826" s="15"/>
      <c r="D1826" s="15"/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  <c r="X1826" s="15"/>
      <c r="Y1826" s="15"/>
      <c r="Z1826" s="15"/>
      <c r="AA1826" s="15"/>
      <c r="AB1826" s="15"/>
      <c r="AC1826" s="15"/>
      <c r="AD1826" s="15"/>
      <c r="AE1826" s="15"/>
    </row>
    <row r="1827" ht="19.5" customHeight="1">
      <c r="A1827" s="15"/>
      <c r="B1827" s="15"/>
      <c r="C1827" s="15"/>
      <c r="D1827" s="15"/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  <c r="AD1827" s="15"/>
      <c r="AE1827" s="15"/>
    </row>
    <row r="1828" ht="19.5" customHeight="1">
      <c r="A1828" s="15"/>
      <c r="B1828" s="15"/>
      <c r="C1828" s="15"/>
      <c r="D1828" s="15"/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  <c r="X1828" s="15"/>
      <c r="Y1828" s="15"/>
      <c r="Z1828" s="15"/>
      <c r="AA1828" s="15"/>
      <c r="AB1828" s="15"/>
      <c r="AC1828" s="15"/>
      <c r="AD1828" s="15"/>
      <c r="AE1828" s="15"/>
    </row>
    <row r="1829" ht="19.5" customHeight="1">
      <c r="A1829" s="15"/>
      <c r="B1829" s="15"/>
      <c r="C1829" s="15"/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  <c r="AD1829" s="15"/>
      <c r="AE1829" s="15"/>
    </row>
    <row r="1830" ht="19.5" customHeight="1">
      <c r="A1830" s="15"/>
      <c r="B1830" s="15"/>
      <c r="C1830" s="15"/>
      <c r="D1830" s="15"/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  <c r="X1830" s="15"/>
      <c r="Y1830" s="15"/>
      <c r="Z1830" s="15"/>
      <c r="AA1830" s="15"/>
      <c r="AB1830" s="15"/>
      <c r="AC1830" s="15"/>
      <c r="AD1830" s="15"/>
      <c r="AE1830" s="15"/>
    </row>
    <row r="1831" ht="19.5" customHeight="1">
      <c r="A1831" s="15"/>
      <c r="B1831" s="15"/>
      <c r="C1831" s="15"/>
      <c r="D1831" s="15"/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  <c r="X1831" s="15"/>
      <c r="Y1831" s="15"/>
      <c r="Z1831" s="15"/>
      <c r="AA1831" s="15"/>
      <c r="AB1831" s="15"/>
      <c r="AC1831" s="15"/>
      <c r="AD1831" s="15"/>
      <c r="AE1831" s="15"/>
    </row>
    <row r="1832" ht="19.5" customHeight="1">
      <c r="A1832" s="15"/>
      <c r="B1832" s="15"/>
      <c r="C1832" s="15"/>
      <c r="D1832" s="15"/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/>
      <c r="AB1832" s="15"/>
      <c r="AC1832" s="15"/>
      <c r="AD1832" s="15"/>
      <c r="AE1832" s="15"/>
    </row>
    <row r="1833" ht="19.5" customHeight="1">
      <c r="A1833" s="15"/>
      <c r="B1833" s="15"/>
      <c r="C1833" s="15"/>
      <c r="D1833" s="15"/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  <c r="AD1833" s="15"/>
      <c r="AE1833" s="15"/>
    </row>
    <row r="1834" ht="19.5" customHeight="1">
      <c r="A1834" s="15"/>
      <c r="B1834" s="15"/>
      <c r="C1834" s="15"/>
      <c r="D1834" s="15"/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  <c r="AA1834" s="15"/>
      <c r="AB1834" s="15"/>
      <c r="AC1834" s="15"/>
      <c r="AD1834" s="15"/>
      <c r="AE1834" s="15"/>
    </row>
    <row r="1835" ht="19.5" customHeight="1">
      <c r="A1835" s="15"/>
      <c r="B1835" s="15"/>
      <c r="C1835" s="15"/>
      <c r="D1835" s="15"/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  <c r="AD1835" s="15"/>
      <c r="AE1835" s="15"/>
    </row>
    <row r="1836" ht="19.5" customHeight="1">
      <c r="A1836" s="15"/>
      <c r="B1836" s="15"/>
      <c r="C1836" s="15"/>
      <c r="D1836" s="15"/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  <c r="AA1836" s="15"/>
      <c r="AB1836" s="15"/>
      <c r="AC1836" s="15"/>
      <c r="AD1836" s="15"/>
      <c r="AE1836" s="15"/>
    </row>
    <row r="1837" ht="19.5" customHeight="1">
      <c r="A1837" s="15"/>
      <c r="B1837" s="15"/>
      <c r="C1837" s="15"/>
      <c r="D1837" s="15"/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</row>
    <row r="1838" ht="19.5" customHeight="1">
      <c r="A1838" s="15"/>
      <c r="B1838" s="15"/>
      <c r="C1838" s="15"/>
      <c r="D1838" s="15"/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  <c r="AA1838" s="15"/>
      <c r="AB1838" s="15"/>
      <c r="AC1838" s="15"/>
      <c r="AD1838" s="15"/>
      <c r="AE1838" s="15"/>
    </row>
    <row r="1839" ht="19.5" customHeight="1">
      <c r="A1839" s="15"/>
      <c r="B1839" s="15"/>
      <c r="C1839" s="15"/>
      <c r="D1839" s="15"/>
      <c r="E1839" s="15"/>
      <c r="F1839" s="15"/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  <c r="AD1839" s="15"/>
      <c r="AE1839" s="15"/>
    </row>
    <row r="1840" ht="19.5" customHeight="1">
      <c r="A1840" s="15"/>
      <c r="B1840" s="15"/>
      <c r="C1840" s="15"/>
      <c r="D1840" s="15"/>
      <c r="E1840" s="15"/>
      <c r="F1840" s="15"/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  <c r="AA1840" s="15"/>
      <c r="AB1840" s="15"/>
      <c r="AC1840" s="15"/>
      <c r="AD1840" s="15"/>
      <c r="AE1840" s="15"/>
    </row>
    <row r="1841" ht="19.5" customHeight="1">
      <c r="A1841" s="15"/>
      <c r="B1841" s="15"/>
      <c r="C1841" s="15"/>
      <c r="D1841" s="15"/>
      <c r="E1841" s="15"/>
      <c r="F1841" s="15"/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  <c r="S1841" s="15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</row>
    <row r="1842" ht="19.5" customHeight="1">
      <c r="A1842" s="15"/>
      <c r="B1842" s="15"/>
      <c r="C1842" s="15"/>
      <c r="D1842" s="15"/>
      <c r="E1842" s="15"/>
      <c r="F1842" s="15"/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  <c r="AA1842" s="15"/>
      <c r="AB1842" s="15"/>
      <c r="AC1842" s="15"/>
      <c r="AD1842" s="15"/>
      <c r="AE1842" s="15"/>
    </row>
    <row r="1843" ht="19.5" customHeight="1">
      <c r="A1843" s="15"/>
      <c r="B1843" s="15"/>
      <c r="C1843" s="15"/>
      <c r="D1843" s="15"/>
      <c r="E1843" s="15"/>
      <c r="F1843" s="15"/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  <c r="S1843" s="15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  <c r="AD1843" s="15"/>
      <c r="AE1843" s="15"/>
    </row>
    <row r="1844" ht="19.5" customHeight="1">
      <c r="A1844" s="15"/>
      <c r="B1844" s="15"/>
      <c r="C1844" s="15"/>
      <c r="D1844" s="15"/>
      <c r="E1844" s="15"/>
      <c r="F1844" s="15"/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  <c r="S1844" s="15"/>
      <c r="T1844" s="15"/>
      <c r="U1844" s="15"/>
      <c r="V1844" s="15"/>
      <c r="W1844" s="15"/>
      <c r="X1844" s="15"/>
      <c r="Y1844" s="15"/>
      <c r="Z1844" s="15"/>
      <c r="AA1844" s="15"/>
      <c r="AB1844" s="15"/>
      <c r="AC1844" s="15"/>
      <c r="AD1844" s="15"/>
      <c r="AE1844" s="15"/>
    </row>
    <row r="1845" ht="19.5" customHeight="1">
      <c r="A1845" s="15"/>
      <c r="B1845" s="15"/>
      <c r="C1845" s="15"/>
      <c r="D1845" s="15"/>
      <c r="E1845" s="15"/>
      <c r="F1845" s="15"/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  <c r="AA1845" s="15"/>
      <c r="AB1845" s="15"/>
      <c r="AC1845" s="15"/>
      <c r="AD1845" s="15"/>
      <c r="AE1845" s="15"/>
    </row>
    <row r="1846" ht="19.5" customHeight="1">
      <c r="A1846" s="15"/>
      <c r="B1846" s="15"/>
      <c r="C1846" s="15"/>
      <c r="D1846" s="15"/>
      <c r="E1846" s="15"/>
      <c r="F1846" s="15"/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  <c r="S1846" s="15"/>
      <c r="T1846" s="15"/>
      <c r="U1846" s="15"/>
      <c r="V1846" s="15"/>
      <c r="W1846" s="15"/>
      <c r="X1846" s="15"/>
      <c r="Y1846" s="15"/>
      <c r="Z1846" s="15"/>
      <c r="AA1846" s="15"/>
      <c r="AB1846" s="15"/>
      <c r="AC1846" s="15"/>
      <c r="AD1846" s="15"/>
      <c r="AE1846" s="15"/>
    </row>
    <row r="1847" ht="19.5" customHeight="1">
      <c r="A1847" s="15"/>
      <c r="B1847" s="15"/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  <c r="S1847" s="15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  <c r="AD1847" s="15"/>
      <c r="AE1847" s="15"/>
    </row>
    <row r="1848" ht="19.5" customHeight="1">
      <c r="A1848" s="15"/>
      <c r="B1848" s="15"/>
      <c r="C1848" s="15"/>
      <c r="D1848" s="15"/>
      <c r="E1848" s="15"/>
      <c r="F1848" s="15"/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  <c r="AD1848" s="15"/>
      <c r="AE1848" s="15"/>
    </row>
    <row r="1849" ht="19.5" customHeight="1">
      <c r="A1849" s="15"/>
      <c r="B1849" s="15"/>
      <c r="C1849" s="15"/>
      <c r="D1849" s="15"/>
      <c r="E1849" s="15"/>
      <c r="F1849" s="15"/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  <c r="AD1849" s="15"/>
      <c r="AE1849" s="15"/>
    </row>
    <row r="1850" ht="19.5" customHeight="1">
      <c r="A1850" s="15"/>
      <c r="B1850" s="15"/>
      <c r="C1850" s="15"/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  <c r="AD1850" s="15"/>
      <c r="AE1850" s="15"/>
    </row>
    <row r="1851" ht="19.5" customHeight="1">
      <c r="A1851" s="15"/>
      <c r="B1851" s="15"/>
      <c r="C1851" s="15"/>
      <c r="D1851" s="15"/>
      <c r="E1851" s="15"/>
      <c r="F1851" s="15"/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  <c r="S1851" s="15"/>
      <c r="T1851" s="15"/>
      <c r="U1851" s="15"/>
      <c r="V1851" s="15"/>
      <c r="W1851" s="15"/>
      <c r="X1851" s="15"/>
      <c r="Y1851" s="15"/>
      <c r="Z1851" s="15"/>
      <c r="AA1851" s="15"/>
      <c r="AB1851" s="15"/>
      <c r="AC1851" s="15"/>
      <c r="AD1851" s="15"/>
      <c r="AE1851" s="15"/>
    </row>
    <row r="1852" ht="19.5" customHeight="1">
      <c r="A1852" s="15"/>
      <c r="B1852" s="15"/>
      <c r="C1852" s="15"/>
      <c r="D1852" s="15"/>
      <c r="E1852" s="15"/>
      <c r="F1852" s="15"/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  <c r="S1852" s="15"/>
      <c r="T1852" s="15"/>
      <c r="U1852" s="15"/>
      <c r="V1852" s="15"/>
      <c r="W1852" s="15"/>
      <c r="X1852" s="15"/>
      <c r="Y1852" s="15"/>
      <c r="Z1852" s="15"/>
      <c r="AA1852" s="15"/>
      <c r="AB1852" s="15"/>
      <c r="AC1852" s="15"/>
      <c r="AD1852" s="15"/>
      <c r="AE1852" s="15"/>
    </row>
    <row r="1853" ht="19.5" customHeight="1">
      <c r="A1853" s="15"/>
      <c r="B1853" s="15"/>
      <c r="C1853" s="15"/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  <c r="S1853" s="15"/>
      <c r="T1853" s="15"/>
      <c r="U1853" s="15"/>
      <c r="V1853" s="15"/>
      <c r="W1853" s="15"/>
      <c r="X1853" s="15"/>
      <c r="Y1853" s="15"/>
      <c r="Z1853" s="15"/>
      <c r="AA1853" s="15"/>
      <c r="AB1853" s="15"/>
      <c r="AC1853" s="15"/>
      <c r="AD1853" s="15"/>
      <c r="AE1853" s="15"/>
    </row>
    <row r="1854" ht="19.5" customHeight="1">
      <c r="A1854" s="15"/>
      <c r="B1854" s="15"/>
      <c r="C1854" s="15"/>
      <c r="D1854" s="15"/>
      <c r="E1854" s="15"/>
      <c r="F1854" s="15"/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  <c r="S1854" s="15"/>
      <c r="T1854" s="15"/>
      <c r="U1854" s="15"/>
      <c r="V1854" s="15"/>
      <c r="W1854" s="15"/>
      <c r="X1854" s="15"/>
      <c r="Y1854" s="15"/>
      <c r="Z1854" s="15"/>
      <c r="AA1854" s="15"/>
      <c r="AB1854" s="15"/>
      <c r="AC1854" s="15"/>
      <c r="AD1854" s="15"/>
      <c r="AE1854" s="15"/>
    </row>
    <row r="1855" ht="19.5" customHeight="1">
      <c r="A1855" s="15"/>
      <c r="B1855" s="15"/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  <c r="S1855" s="15"/>
      <c r="T1855" s="15"/>
      <c r="U1855" s="15"/>
      <c r="V1855" s="15"/>
      <c r="W1855" s="15"/>
      <c r="X1855" s="15"/>
      <c r="Y1855" s="15"/>
      <c r="Z1855" s="15"/>
      <c r="AA1855" s="15"/>
      <c r="AB1855" s="15"/>
      <c r="AC1855" s="15"/>
      <c r="AD1855" s="15"/>
      <c r="AE1855" s="15"/>
    </row>
    <row r="1856" ht="19.5" customHeight="1">
      <c r="A1856" s="15"/>
      <c r="B1856" s="15"/>
      <c r="C1856" s="15"/>
      <c r="D1856" s="15"/>
      <c r="E1856" s="15"/>
      <c r="F1856" s="15"/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  <c r="S1856" s="15"/>
      <c r="T1856" s="15"/>
      <c r="U1856" s="15"/>
      <c r="V1856" s="15"/>
      <c r="W1856" s="15"/>
      <c r="X1856" s="15"/>
      <c r="Y1856" s="15"/>
      <c r="Z1856" s="15"/>
      <c r="AA1856" s="15"/>
      <c r="AB1856" s="15"/>
      <c r="AC1856" s="15"/>
      <c r="AD1856" s="15"/>
      <c r="AE1856" s="15"/>
    </row>
    <row r="1857" ht="19.5" customHeight="1">
      <c r="A1857" s="15"/>
      <c r="B1857" s="15"/>
      <c r="C1857" s="15"/>
      <c r="D1857" s="15"/>
      <c r="E1857" s="15"/>
      <c r="F1857" s="15"/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  <c r="S1857" s="15"/>
      <c r="T1857" s="15"/>
      <c r="U1857" s="15"/>
      <c r="V1857" s="15"/>
      <c r="W1857" s="15"/>
      <c r="X1857" s="15"/>
      <c r="Y1857" s="15"/>
      <c r="Z1857" s="15"/>
      <c r="AA1857" s="15"/>
      <c r="AB1857" s="15"/>
      <c r="AC1857" s="15"/>
      <c r="AD1857" s="15"/>
      <c r="AE1857" s="15"/>
    </row>
    <row r="1858" ht="19.5" customHeight="1">
      <c r="A1858" s="15"/>
      <c r="B1858" s="15"/>
      <c r="C1858" s="15"/>
      <c r="D1858" s="15"/>
      <c r="E1858" s="15"/>
      <c r="F1858" s="15"/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  <c r="S1858" s="15"/>
      <c r="T1858" s="15"/>
      <c r="U1858" s="15"/>
      <c r="V1858" s="15"/>
      <c r="W1858" s="15"/>
      <c r="X1858" s="15"/>
      <c r="Y1858" s="15"/>
      <c r="Z1858" s="15"/>
      <c r="AA1858" s="15"/>
      <c r="AB1858" s="15"/>
      <c r="AC1858" s="15"/>
      <c r="AD1858" s="15"/>
      <c r="AE1858" s="15"/>
    </row>
    <row r="1859" ht="19.5" customHeight="1">
      <c r="A1859" s="15"/>
      <c r="B1859" s="15"/>
      <c r="C1859" s="15"/>
      <c r="D1859" s="15"/>
      <c r="E1859" s="15"/>
      <c r="F1859" s="15"/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  <c r="S1859" s="15"/>
      <c r="T1859" s="15"/>
      <c r="U1859" s="15"/>
      <c r="V1859" s="15"/>
      <c r="W1859" s="15"/>
      <c r="X1859" s="15"/>
      <c r="Y1859" s="15"/>
      <c r="Z1859" s="15"/>
      <c r="AA1859" s="15"/>
      <c r="AB1859" s="15"/>
      <c r="AC1859" s="15"/>
      <c r="AD1859" s="15"/>
      <c r="AE1859" s="15"/>
    </row>
    <row r="1860" ht="19.5" customHeight="1">
      <c r="A1860" s="15"/>
      <c r="B1860" s="15"/>
      <c r="C1860" s="15"/>
      <c r="D1860" s="15"/>
      <c r="E1860" s="15"/>
      <c r="F1860" s="15"/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  <c r="S1860" s="15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  <c r="AD1860" s="15"/>
      <c r="AE1860" s="15"/>
    </row>
    <row r="1861" ht="19.5" customHeight="1">
      <c r="A1861" s="15"/>
      <c r="B1861" s="15"/>
      <c r="C1861" s="15"/>
      <c r="D1861" s="15"/>
      <c r="E1861" s="15"/>
      <c r="F1861" s="15"/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  <c r="AD1861" s="15"/>
      <c r="AE1861" s="15"/>
    </row>
    <row r="1862" ht="19.5" customHeight="1">
      <c r="A1862" s="15"/>
      <c r="B1862" s="15"/>
      <c r="C1862" s="15"/>
      <c r="D1862" s="15"/>
      <c r="E1862" s="15"/>
      <c r="F1862" s="15"/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  <c r="S1862" s="15"/>
      <c r="T1862" s="15"/>
      <c r="U1862" s="15"/>
      <c r="V1862" s="15"/>
      <c r="W1862" s="15"/>
      <c r="X1862" s="15"/>
      <c r="Y1862" s="15"/>
      <c r="Z1862" s="15"/>
      <c r="AA1862" s="15"/>
      <c r="AB1862" s="15"/>
      <c r="AC1862" s="15"/>
      <c r="AD1862" s="15"/>
      <c r="AE1862" s="15"/>
    </row>
    <row r="1863" ht="19.5" customHeight="1">
      <c r="A1863" s="15"/>
      <c r="B1863" s="15"/>
      <c r="C1863" s="15"/>
      <c r="D1863" s="15"/>
      <c r="E1863" s="15"/>
      <c r="F1863" s="15"/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  <c r="S1863" s="15"/>
      <c r="T1863" s="15"/>
      <c r="U1863" s="15"/>
      <c r="V1863" s="15"/>
      <c r="W1863" s="15"/>
      <c r="X1863" s="15"/>
      <c r="Y1863" s="15"/>
      <c r="Z1863" s="15"/>
      <c r="AA1863" s="15"/>
      <c r="AB1863" s="15"/>
      <c r="AC1863" s="15"/>
      <c r="AD1863" s="15"/>
      <c r="AE1863" s="15"/>
    </row>
    <row r="1864" ht="19.5" customHeight="1">
      <c r="A1864" s="15"/>
      <c r="B1864" s="15"/>
      <c r="C1864" s="15"/>
      <c r="D1864" s="15"/>
      <c r="E1864" s="15"/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5"/>
      <c r="W1864" s="15"/>
      <c r="X1864" s="15"/>
      <c r="Y1864" s="15"/>
      <c r="Z1864" s="15"/>
      <c r="AA1864" s="15"/>
      <c r="AB1864" s="15"/>
      <c r="AC1864" s="15"/>
      <c r="AD1864" s="15"/>
      <c r="AE1864" s="15"/>
    </row>
    <row r="1865" ht="19.5" customHeight="1">
      <c r="A1865" s="15"/>
      <c r="B1865" s="15"/>
      <c r="C1865" s="15"/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  <c r="S1865" s="15"/>
      <c r="T1865" s="15"/>
      <c r="U1865" s="15"/>
      <c r="V1865" s="15"/>
      <c r="W1865" s="15"/>
      <c r="X1865" s="15"/>
      <c r="Y1865" s="15"/>
      <c r="Z1865" s="15"/>
      <c r="AA1865" s="15"/>
      <c r="AB1865" s="15"/>
      <c r="AC1865" s="15"/>
      <c r="AD1865" s="15"/>
      <c r="AE1865" s="15"/>
    </row>
    <row r="1866" ht="19.5" customHeight="1">
      <c r="A1866" s="15"/>
      <c r="B1866" s="15"/>
      <c r="C1866" s="15"/>
      <c r="D1866" s="15"/>
      <c r="E1866" s="15"/>
      <c r="F1866" s="15"/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  <c r="AA1866" s="15"/>
      <c r="AB1866" s="15"/>
      <c r="AC1866" s="15"/>
      <c r="AD1866" s="15"/>
      <c r="AE1866" s="15"/>
    </row>
    <row r="1867" ht="19.5" customHeight="1">
      <c r="A1867" s="15"/>
      <c r="B1867" s="15"/>
      <c r="C1867" s="15"/>
      <c r="D1867" s="15"/>
      <c r="E1867" s="15"/>
      <c r="F1867" s="15"/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  <c r="S1867" s="15"/>
      <c r="T1867" s="15"/>
      <c r="U1867" s="15"/>
      <c r="V1867" s="15"/>
      <c r="W1867" s="15"/>
      <c r="X1867" s="15"/>
      <c r="Y1867" s="15"/>
      <c r="Z1867" s="15"/>
      <c r="AA1867" s="15"/>
      <c r="AB1867" s="15"/>
      <c r="AC1867" s="15"/>
      <c r="AD1867" s="15"/>
      <c r="AE1867" s="15"/>
    </row>
    <row r="1868" ht="19.5" customHeight="1">
      <c r="A1868" s="15"/>
      <c r="B1868" s="15"/>
      <c r="C1868" s="15"/>
      <c r="D1868" s="15"/>
      <c r="E1868" s="15"/>
      <c r="F1868" s="15"/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  <c r="S1868" s="15"/>
      <c r="T1868" s="15"/>
      <c r="U1868" s="15"/>
      <c r="V1868" s="15"/>
      <c r="W1868" s="15"/>
      <c r="X1868" s="15"/>
      <c r="Y1868" s="15"/>
      <c r="Z1868" s="15"/>
      <c r="AA1868" s="15"/>
      <c r="AB1868" s="15"/>
      <c r="AC1868" s="15"/>
      <c r="AD1868" s="15"/>
      <c r="AE1868" s="15"/>
    </row>
    <row r="1869" ht="19.5" customHeight="1">
      <c r="A1869" s="15"/>
      <c r="B1869" s="15"/>
      <c r="C1869" s="15"/>
      <c r="D1869" s="15"/>
      <c r="E1869" s="15"/>
      <c r="F1869" s="15"/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  <c r="S1869" s="15"/>
      <c r="T1869" s="15"/>
      <c r="U1869" s="15"/>
      <c r="V1869" s="15"/>
      <c r="W1869" s="15"/>
      <c r="X1869" s="15"/>
      <c r="Y1869" s="15"/>
      <c r="Z1869" s="15"/>
      <c r="AA1869" s="15"/>
      <c r="AB1869" s="15"/>
      <c r="AC1869" s="15"/>
      <c r="AD1869" s="15"/>
      <c r="AE1869" s="15"/>
    </row>
    <row r="1870" ht="19.5" customHeight="1">
      <c r="A1870" s="15"/>
      <c r="B1870" s="15"/>
      <c r="C1870" s="15"/>
      <c r="D1870" s="15"/>
      <c r="E1870" s="15"/>
      <c r="F1870" s="15"/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  <c r="AA1870" s="15"/>
      <c r="AB1870" s="15"/>
      <c r="AC1870" s="15"/>
      <c r="AD1870" s="15"/>
      <c r="AE1870" s="15"/>
    </row>
    <row r="1871" ht="19.5" customHeight="1">
      <c r="A1871" s="15"/>
      <c r="B1871" s="15"/>
      <c r="C1871" s="15"/>
      <c r="D1871" s="15"/>
      <c r="E1871" s="15"/>
      <c r="F1871" s="15"/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  <c r="AA1871" s="15"/>
      <c r="AB1871" s="15"/>
      <c r="AC1871" s="15"/>
      <c r="AD1871" s="15"/>
      <c r="AE1871" s="15"/>
    </row>
    <row r="1872" ht="19.5" customHeight="1">
      <c r="A1872" s="15"/>
      <c r="B1872" s="15"/>
      <c r="C1872" s="15"/>
      <c r="D1872" s="15"/>
      <c r="E1872" s="15"/>
      <c r="F1872" s="15"/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  <c r="S1872" s="15"/>
      <c r="T1872" s="15"/>
      <c r="U1872" s="15"/>
      <c r="V1872" s="15"/>
      <c r="W1872" s="15"/>
      <c r="X1872" s="15"/>
      <c r="Y1872" s="15"/>
      <c r="Z1872" s="15"/>
      <c r="AA1872" s="15"/>
      <c r="AB1872" s="15"/>
      <c r="AC1872" s="15"/>
      <c r="AD1872" s="15"/>
      <c r="AE1872" s="15"/>
    </row>
    <row r="1873" ht="19.5" customHeight="1">
      <c r="A1873" s="15"/>
      <c r="B1873" s="15"/>
      <c r="C1873" s="15"/>
      <c r="D1873" s="15"/>
      <c r="E1873" s="15"/>
      <c r="F1873" s="15"/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  <c r="AA1873" s="15"/>
      <c r="AB1873" s="15"/>
      <c r="AC1873" s="15"/>
      <c r="AD1873" s="15"/>
      <c r="AE1873" s="15"/>
    </row>
    <row r="1874" ht="19.5" customHeight="1">
      <c r="A1874" s="15"/>
      <c r="B1874" s="15"/>
      <c r="C1874" s="15"/>
      <c r="D1874" s="15"/>
      <c r="E1874" s="15"/>
      <c r="F1874" s="15"/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  <c r="AA1874" s="15"/>
      <c r="AB1874" s="15"/>
      <c r="AC1874" s="15"/>
      <c r="AD1874" s="15"/>
      <c r="AE1874" s="15"/>
    </row>
    <row r="1875" ht="19.5" customHeight="1">
      <c r="A1875" s="15"/>
      <c r="B1875" s="15"/>
      <c r="C1875" s="15"/>
      <c r="D1875" s="15"/>
      <c r="E1875" s="15"/>
      <c r="F1875" s="15"/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  <c r="AA1875" s="15"/>
      <c r="AB1875" s="15"/>
      <c r="AC1875" s="15"/>
      <c r="AD1875" s="15"/>
      <c r="AE1875" s="15"/>
    </row>
    <row r="1876" ht="19.5" customHeight="1">
      <c r="A1876" s="15"/>
      <c r="B1876" s="15"/>
      <c r="C1876" s="15"/>
      <c r="D1876" s="15"/>
      <c r="E1876" s="15"/>
      <c r="F1876" s="15"/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  <c r="AA1876" s="15"/>
      <c r="AB1876" s="15"/>
      <c r="AC1876" s="15"/>
      <c r="AD1876" s="15"/>
      <c r="AE1876" s="15"/>
    </row>
    <row r="1877" ht="19.5" customHeight="1">
      <c r="A1877" s="15"/>
      <c r="B1877" s="15"/>
      <c r="C1877" s="15"/>
      <c r="D1877" s="15"/>
      <c r="E1877" s="15"/>
      <c r="F1877" s="15"/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  <c r="AA1877" s="15"/>
      <c r="AB1877" s="15"/>
      <c r="AC1877" s="15"/>
      <c r="AD1877" s="15"/>
      <c r="AE1877" s="15"/>
    </row>
    <row r="1878" ht="19.5" customHeight="1">
      <c r="A1878" s="15"/>
      <c r="B1878" s="15"/>
      <c r="C1878" s="15"/>
      <c r="D1878" s="15"/>
      <c r="E1878" s="15"/>
      <c r="F1878" s="15"/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  <c r="AA1878" s="15"/>
      <c r="AB1878" s="15"/>
      <c r="AC1878" s="15"/>
      <c r="AD1878" s="15"/>
      <c r="AE1878" s="15"/>
    </row>
    <row r="1879" ht="19.5" customHeight="1">
      <c r="A1879" s="15"/>
      <c r="B1879" s="15"/>
      <c r="C1879" s="15"/>
      <c r="D1879" s="15"/>
      <c r="E1879" s="15"/>
      <c r="F1879" s="15"/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  <c r="AC1879" s="15"/>
      <c r="AD1879" s="15"/>
      <c r="AE1879" s="15"/>
    </row>
    <row r="1880" ht="19.5" customHeight="1">
      <c r="A1880" s="15"/>
      <c r="B1880" s="15"/>
      <c r="C1880" s="15"/>
      <c r="D1880" s="15"/>
      <c r="E1880" s="15"/>
      <c r="F1880" s="15"/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  <c r="S1880" s="15"/>
      <c r="T1880" s="15"/>
      <c r="U1880" s="15"/>
      <c r="V1880" s="15"/>
      <c r="W1880" s="15"/>
      <c r="X1880" s="15"/>
      <c r="Y1880" s="15"/>
      <c r="Z1880" s="15"/>
      <c r="AA1880" s="15"/>
      <c r="AB1880" s="15"/>
      <c r="AC1880" s="15"/>
      <c r="AD1880" s="15"/>
      <c r="AE1880" s="15"/>
    </row>
    <row r="1881" ht="19.5" customHeight="1">
      <c r="A1881" s="15"/>
      <c r="B1881" s="15"/>
      <c r="C1881" s="15"/>
      <c r="D1881" s="15"/>
      <c r="E1881" s="15"/>
      <c r="F1881" s="15"/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  <c r="AD1881" s="15"/>
      <c r="AE1881" s="15"/>
    </row>
    <row r="1882" ht="19.5" customHeight="1">
      <c r="A1882" s="15"/>
      <c r="B1882" s="15"/>
      <c r="C1882" s="15"/>
      <c r="D1882" s="15"/>
      <c r="E1882" s="15"/>
      <c r="F1882" s="15"/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  <c r="S1882" s="15"/>
      <c r="T1882" s="15"/>
      <c r="U1882" s="15"/>
      <c r="V1882" s="15"/>
      <c r="W1882" s="15"/>
      <c r="X1882" s="15"/>
      <c r="Y1882" s="15"/>
      <c r="Z1882" s="15"/>
      <c r="AA1882" s="15"/>
      <c r="AB1882" s="15"/>
      <c r="AC1882" s="15"/>
      <c r="AD1882" s="15"/>
      <c r="AE1882" s="15"/>
    </row>
    <row r="1883" ht="19.5" customHeight="1">
      <c r="A1883" s="15"/>
      <c r="B1883" s="15"/>
      <c r="C1883" s="15"/>
      <c r="D1883" s="15"/>
      <c r="E1883" s="15"/>
      <c r="F1883" s="15"/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  <c r="AD1883" s="15"/>
      <c r="AE1883" s="15"/>
    </row>
    <row r="1884" ht="19.5" customHeight="1">
      <c r="A1884" s="15"/>
      <c r="B1884" s="15"/>
      <c r="C1884" s="15"/>
      <c r="D1884" s="15"/>
      <c r="E1884" s="15"/>
      <c r="F1884" s="15"/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  <c r="S1884" s="15"/>
      <c r="T1884" s="15"/>
      <c r="U1884" s="15"/>
      <c r="V1884" s="15"/>
      <c r="W1884" s="15"/>
      <c r="X1884" s="15"/>
      <c r="Y1884" s="15"/>
      <c r="Z1884" s="15"/>
      <c r="AA1884" s="15"/>
      <c r="AB1884" s="15"/>
      <c r="AC1884" s="15"/>
      <c r="AD1884" s="15"/>
      <c r="AE1884" s="15"/>
    </row>
    <row r="1885" ht="19.5" customHeight="1">
      <c r="A1885" s="15"/>
      <c r="B1885" s="15"/>
      <c r="C1885" s="15"/>
      <c r="D1885" s="15"/>
      <c r="E1885" s="15"/>
      <c r="F1885" s="15"/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  <c r="AA1885" s="15"/>
      <c r="AB1885" s="15"/>
      <c r="AC1885" s="15"/>
      <c r="AD1885" s="15"/>
      <c r="AE1885" s="15"/>
    </row>
    <row r="1886" ht="19.5" customHeight="1">
      <c r="A1886" s="15"/>
      <c r="B1886" s="15"/>
      <c r="C1886" s="15"/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/>
      <c r="AB1886" s="15"/>
      <c r="AC1886" s="15"/>
      <c r="AD1886" s="15"/>
      <c r="AE1886" s="15"/>
    </row>
    <row r="1887" ht="19.5" customHeight="1">
      <c r="A1887" s="15"/>
      <c r="B1887" s="15"/>
      <c r="C1887" s="15"/>
      <c r="D1887" s="15"/>
      <c r="E1887" s="15"/>
      <c r="F1887" s="15"/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  <c r="S1887" s="15"/>
      <c r="T1887" s="15"/>
      <c r="U1887" s="15"/>
      <c r="V1887" s="15"/>
      <c r="W1887" s="15"/>
      <c r="X1887" s="15"/>
      <c r="Y1887" s="15"/>
      <c r="Z1887" s="15"/>
      <c r="AA1887" s="15"/>
      <c r="AB1887" s="15"/>
      <c r="AC1887" s="15"/>
      <c r="AD1887" s="15"/>
      <c r="AE1887" s="15"/>
    </row>
    <row r="1888" ht="19.5" customHeight="1">
      <c r="A1888" s="15"/>
      <c r="B1888" s="15"/>
      <c r="C1888" s="15"/>
      <c r="D1888" s="15"/>
      <c r="E1888" s="15"/>
      <c r="F1888" s="15"/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  <c r="S1888" s="15"/>
      <c r="T1888" s="15"/>
      <c r="U1888" s="15"/>
      <c r="V1888" s="15"/>
      <c r="W1888" s="15"/>
      <c r="X1888" s="15"/>
      <c r="Y1888" s="15"/>
      <c r="Z1888" s="15"/>
      <c r="AA1888" s="15"/>
      <c r="AB1888" s="15"/>
      <c r="AC1888" s="15"/>
      <c r="AD1888" s="15"/>
      <c r="AE1888" s="15"/>
    </row>
    <row r="1889" ht="19.5" customHeight="1">
      <c r="A1889" s="15"/>
      <c r="B1889" s="15"/>
      <c r="C1889" s="15"/>
      <c r="D1889" s="15"/>
      <c r="E1889" s="15"/>
      <c r="F1889" s="15"/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  <c r="AD1889" s="15"/>
      <c r="AE1889" s="15"/>
    </row>
    <row r="1890" ht="19.5" customHeight="1">
      <c r="A1890" s="15"/>
      <c r="B1890" s="15"/>
      <c r="C1890" s="15"/>
      <c r="D1890" s="15"/>
      <c r="E1890" s="15"/>
      <c r="F1890" s="15"/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  <c r="S1890" s="15"/>
      <c r="T1890" s="15"/>
      <c r="U1890" s="15"/>
      <c r="V1890" s="15"/>
      <c r="W1890" s="15"/>
      <c r="X1890" s="15"/>
      <c r="Y1890" s="15"/>
      <c r="Z1890" s="15"/>
      <c r="AA1890" s="15"/>
      <c r="AB1890" s="15"/>
      <c r="AC1890" s="15"/>
      <c r="AD1890" s="15"/>
      <c r="AE1890" s="15"/>
    </row>
    <row r="1891" ht="19.5" customHeight="1">
      <c r="A1891" s="15"/>
      <c r="B1891" s="15"/>
      <c r="C1891" s="15"/>
      <c r="D1891" s="15"/>
      <c r="E1891" s="15"/>
      <c r="F1891" s="15"/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/>
      <c r="AB1891" s="15"/>
      <c r="AC1891" s="15"/>
      <c r="AD1891" s="15"/>
      <c r="AE1891" s="15"/>
    </row>
    <row r="1892" ht="19.5" customHeight="1">
      <c r="A1892" s="15"/>
      <c r="B1892" s="15"/>
      <c r="C1892" s="15"/>
      <c r="D1892" s="15"/>
      <c r="E1892" s="15"/>
      <c r="F1892" s="15"/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  <c r="S1892" s="15"/>
      <c r="T1892" s="15"/>
      <c r="U1892" s="15"/>
      <c r="V1892" s="15"/>
      <c r="W1892" s="15"/>
      <c r="X1892" s="15"/>
      <c r="Y1892" s="15"/>
      <c r="Z1892" s="15"/>
      <c r="AA1892" s="15"/>
      <c r="AB1892" s="15"/>
      <c r="AC1892" s="15"/>
      <c r="AD1892" s="15"/>
      <c r="AE1892" s="15"/>
    </row>
    <row r="1893" ht="19.5" customHeight="1">
      <c r="A1893" s="15"/>
      <c r="B1893" s="15"/>
      <c r="C1893" s="15"/>
      <c r="D1893" s="15"/>
      <c r="E1893" s="15"/>
      <c r="F1893" s="15"/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  <c r="S1893" s="15"/>
      <c r="T1893" s="15"/>
      <c r="U1893" s="15"/>
      <c r="V1893" s="15"/>
      <c r="W1893" s="15"/>
      <c r="X1893" s="15"/>
      <c r="Y1893" s="15"/>
      <c r="Z1893" s="15"/>
      <c r="AA1893" s="15"/>
      <c r="AB1893" s="15"/>
      <c r="AC1893" s="15"/>
      <c r="AD1893" s="15"/>
      <c r="AE1893" s="15"/>
    </row>
    <row r="1894" ht="19.5" customHeight="1">
      <c r="A1894" s="15"/>
      <c r="B1894" s="15"/>
      <c r="C1894" s="15"/>
      <c r="D1894" s="15"/>
      <c r="E1894" s="15"/>
      <c r="F1894" s="15"/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  <c r="AA1894" s="15"/>
      <c r="AB1894" s="15"/>
      <c r="AC1894" s="15"/>
      <c r="AD1894" s="15"/>
      <c r="AE1894" s="15"/>
    </row>
    <row r="1895" ht="19.5" customHeight="1">
      <c r="A1895" s="15"/>
      <c r="B1895" s="15"/>
      <c r="C1895" s="15"/>
      <c r="D1895" s="15"/>
      <c r="E1895" s="15"/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5"/>
      <c r="W1895" s="15"/>
      <c r="X1895" s="15"/>
      <c r="Y1895" s="15"/>
      <c r="Z1895" s="15"/>
      <c r="AA1895" s="15"/>
      <c r="AB1895" s="15"/>
      <c r="AC1895" s="15"/>
      <c r="AD1895" s="15"/>
      <c r="AE1895" s="15"/>
    </row>
    <row r="1896" ht="19.5" customHeight="1">
      <c r="A1896" s="15"/>
      <c r="B1896" s="15"/>
      <c r="C1896" s="15"/>
      <c r="D1896" s="15"/>
      <c r="E1896" s="15"/>
      <c r="F1896" s="15"/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  <c r="S1896" s="15"/>
      <c r="T1896" s="15"/>
      <c r="U1896" s="15"/>
      <c r="V1896" s="15"/>
      <c r="W1896" s="15"/>
      <c r="X1896" s="15"/>
      <c r="Y1896" s="15"/>
      <c r="Z1896" s="15"/>
      <c r="AA1896" s="15"/>
      <c r="AB1896" s="15"/>
      <c r="AC1896" s="15"/>
      <c r="AD1896" s="15"/>
      <c r="AE1896" s="15"/>
    </row>
    <row r="1897" ht="19.5" customHeight="1">
      <c r="A1897" s="15"/>
      <c r="B1897" s="15"/>
      <c r="C1897" s="15"/>
      <c r="D1897" s="15"/>
      <c r="E1897" s="15"/>
      <c r="F1897" s="15"/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  <c r="S1897" s="15"/>
      <c r="T1897" s="15"/>
      <c r="U1897" s="15"/>
      <c r="V1897" s="15"/>
      <c r="W1897" s="15"/>
      <c r="X1897" s="15"/>
      <c r="Y1897" s="15"/>
      <c r="Z1897" s="15"/>
      <c r="AA1897" s="15"/>
      <c r="AB1897" s="15"/>
      <c r="AC1897" s="15"/>
      <c r="AD1897" s="15"/>
      <c r="AE1897" s="15"/>
    </row>
    <row r="1898" ht="19.5" customHeight="1">
      <c r="A1898" s="15"/>
      <c r="B1898" s="15"/>
      <c r="C1898" s="15"/>
      <c r="D1898" s="15"/>
      <c r="E1898" s="15"/>
      <c r="F1898" s="15"/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  <c r="S1898" s="15"/>
      <c r="T1898" s="15"/>
      <c r="U1898" s="15"/>
      <c r="V1898" s="15"/>
      <c r="W1898" s="15"/>
      <c r="X1898" s="15"/>
      <c r="Y1898" s="15"/>
      <c r="Z1898" s="15"/>
      <c r="AA1898" s="15"/>
      <c r="AB1898" s="15"/>
      <c r="AC1898" s="15"/>
      <c r="AD1898" s="15"/>
      <c r="AE1898" s="15"/>
    </row>
    <row r="1899" ht="19.5" customHeight="1">
      <c r="A1899" s="15"/>
      <c r="B1899" s="15"/>
      <c r="C1899" s="15"/>
      <c r="D1899" s="15"/>
      <c r="E1899" s="15"/>
      <c r="F1899" s="15"/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  <c r="S1899" s="15"/>
      <c r="T1899" s="15"/>
      <c r="U1899" s="15"/>
      <c r="V1899" s="15"/>
      <c r="W1899" s="15"/>
      <c r="X1899" s="15"/>
      <c r="Y1899" s="15"/>
      <c r="Z1899" s="15"/>
      <c r="AA1899" s="15"/>
      <c r="AB1899" s="15"/>
      <c r="AC1899" s="15"/>
      <c r="AD1899" s="15"/>
      <c r="AE1899" s="15"/>
    </row>
    <row r="1900" ht="19.5" customHeight="1">
      <c r="A1900" s="15"/>
      <c r="B1900" s="15"/>
      <c r="C1900" s="15"/>
      <c r="D1900" s="15"/>
      <c r="E1900" s="15"/>
      <c r="F1900" s="15"/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  <c r="AA1900" s="15"/>
      <c r="AB1900" s="15"/>
      <c r="AC1900" s="15"/>
      <c r="AD1900" s="15"/>
      <c r="AE1900" s="15"/>
    </row>
    <row r="1901" ht="19.5" customHeight="1">
      <c r="A1901" s="15"/>
      <c r="B1901" s="15"/>
      <c r="C1901" s="15"/>
      <c r="D1901" s="15"/>
      <c r="E1901" s="15"/>
      <c r="F1901" s="15"/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  <c r="S1901" s="15"/>
      <c r="T1901" s="15"/>
      <c r="U1901" s="15"/>
      <c r="V1901" s="15"/>
      <c r="W1901" s="15"/>
      <c r="X1901" s="15"/>
      <c r="Y1901" s="15"/>
      <c r="Z1901" s="15"/>
      <c r="AA1901" s="15"/>
      <c r="AB1901" s="15"/>
      <c r="AC1901" s="15"/>
      <c r="AD1901" s="15"/>
      <c r="AE1901" s="15"/>
    </row>
    <row r="1902" ht="19.5" customHeight="1">
      <c r="A1902" s="15"/>
      <c r="B1902" s="15"/>
      <c r="C1902" s="15"/>
      <c r="D1902" s="15"/>
      <c r="E1902" s="15"/>
      <c r="F1902" s="15"/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  <c r="AA1902" s="15"/>
      <c r="AB1902" s="15"/>
      <c r="AC1902" s="15"/>
      <c r="AD1902" s="15"/>
      <c r="AE1902" s="15"/>
    </row>
    <row r="1903" ht="19.5" customHeight="1">
      <c r="A1903" s="15"/>
      <c r="B1903" s="15"/>
      <c r="C1903" s="15"/>
      <c r="D1903" s="15"/>
      <c r="E1903" s="15"/>
      <c r="F1903" s="15"/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  <c r="S1903" s="15"/>
      <c r="T1903" s="15"/>
      <c r="U1903" s="15"/>
      <c r="V1903" s="15"/>
      <c r="W1903" s="15"/>
      <c r="X1903" s="15"/>
      <c r="Y1903" s="15"/>
      <c r="Z1903" s="15"/>
      <c r="AA1903" s="15"/>
      <c r="AB1903" s="15"/>
      <c r="AC1903" s="15"/>
      <c r="AD1903" s="15"/>
      <c r="AE1903" s="15"/>
    </row>
    <row r="1904" ht="19.5" customHeight="1">
      <c r="A1904" s="15"/>
      <c r="B1904" s="15"/>
      <c r="C1904" s="15"/>
      <c r="D1904" s="15"/>
      <c r="E1904" s="15"/>
      <c r="F1904" s="15"/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  <c r="AA1904" s="15"/>
      <c r="AB1904" s="15"/>
      <c r="AC1904" s="15"/>
      <c r="AD1904" s="15"/>
      <c r="AE1904" s="15"/>
    </row>
    <row r="1905" ht="19.5" customHeight="1">
      <c r="A1905" s="15"/>
      <c r="B1905" s="15"/>
      <c r="C1905" s="15"/>
      <c r="D1905" s="15"/>
      <c r="E1905" s="15"/>
      <c r="F1905" s="15"/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  <c r="S1905" s="15"/>
      <c r="T1905" s="15"/>
      <c r="U1905" s="15"/>
      <c r="V1905" s="15"/>
      <c r="W1905" s="15"/>
      <c r="X1905" s="15"/>
      <c r="Y1905" s="15"/>
      <c r="Z1905" s="15"/>
      <c r="AA1905" s="15"/>
      <c r="AB1905" s="15"/>
      <c r="AC1905" s="15"/>
      <c r="AD1905" s="15"/>
      <c r="AE1905" s="15"/>
    </row>
    <row r="1906" ht="19.5" customHeight="1">
      <c r="A1906" s="15"/>
      <c r="B1906" s="15"/>
      <c r="C1906" s="15"/>
      <c r="D1906" s="15"/>
      <c r="E1906" s="15"/>
      <c r="F1906" s="15"/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  <c r="S1906" s="15"/>
      <c r="T1906" s="15"/>
      <c r="U1906" s="15"/>
      <c r="V1906" s="15"/>
      <c r="W1906" s="15"/>
      <c r="X1906" s="15"/>
      <c r="Y1906" s="15"/>
      <c r="Z1906" s="15"/>
      <c r="AA1906" s="15"/>
      <c r="AB1906" s="15"/>
      <c r="AC1906" s="15"/>
      <c r="AD1906" s="15"/>
      <c r="AE1906" s="15"/>
    </row>
    <row r="1907" ht="19.5" customHeight="1">
      <c r="A1907" s="15"/>
      <c r="B1907" s="15"/>
      <c r="C1907" s="15"/>
      <c r="D1907" s="15"/>
      <c r="E1907" s="15"/>
      <c r="F1907" s="15"/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  <c r="S1907" s="15"/>
      <c r="T1907" s="15"/>
      <c r="U1907" s="15"/>
      <c r="V1907" s="15"/>
      <c r="W1907" s="15"/>
      <c r="X1907" s="15"/>
      <c r="Y1907" s="15"/>
      <c r="Z1907" s="15"/>
      <c r="AA1907" s="15"/>
      <c r="AB1907" s="15"/>
      <c r="AC1907" s="15"/>
      <c r="AD1907" s="15"/>
      <c r="AE1907" s="15"/>
    </row>
    <row r="1908" ht="19.5" customHeight="1">
      <c r="A1908" s="15"/>
      <c r="B1908" s="15"/>
      <c r="C1908" s="15"/>
      <c r="D1908" s="15"/>
      <c r="E1908" s="15"/>
      <c r="F1908" s="15"/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  <c r="S1908" s="15"/>
      <c r="T1908" s="15"/>
      <c r="U1908" s="15"/>
      <c r="V1908" s="15"/>
      <c r="W1908" s="15"/>
      <c r="X1908" s="15"/>
      <c r="Y1908" s="15"/>
      <c r="Z1908" s="15"/>
      <c r="AA1908" s="15"/>
      <c r="AB1908" s="15"/>
      <c r="AC1908" s="15"/>
      <c r="AD1908" s="15"/>
      <c r="AE1908" s="15"/>
    </row>
    <row r="1909" ht="19.5" customHeight="1">
      <c r="A1909" s="15"/>
      <c r="B1909" s="15"/>
      <c r="C1909" s="15"/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  <c r="AA1909" s="15"/>
      <c r="AB1909" s="15"/>
      <c r="AC1909" s="15"/>
      <c r="AD1909" s="15"/>
      <c r="AE1909" s="15"/>
    </row>
    <row r="1910" ht="19.5" customHeight="1">
      <c r="A1910" s="15"/>
      <c r="B1910" s="15"/>
      <c r="C1910" s="15"/>
      <c r="D1910" s="15"/>
      <c r="E1910" s="15"/>
      <c r="F1910" s="15"/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  <c r="S1910" s="15"/>
      <c r="T1910" s="15"/>
      <c r="U1910" s="15"/>
      <c r="V1910" s="15"/>
      <c r="W1910" s="15"/>
      <c r="X1910" s="15"/>
      <c r="Y1910" s="15"/>
      <c r="Z1910" s="15"/>
      <c r="AA1910" s="15"/>
      <c r="AB1910" s="15"/>
      <c r="AC1910" s="15"/>
      <c r="AD1910" s="15"/>
      <c r="AE1910" s="15"/>
    </row>
    <row r="1911" ht="19.5" customHeight="1">
      <c r="A1911" s="15"/>
      <c r="B1911" s="15"/>
      <c r="C1911" s="15"/>
      <c r="D1911" s="15"/>
      <c r="E1911" s="15"/>
      <c r="F1911" s="15"/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  <c r="AA1911" s="15"/>
      <c r="AB1911" s="15"/>
      <c r="AC1911" s="15"/>
      <c r="AD1911" s="15"/>
      <c r="AE1911" s="15"/>
    </row>
    <row r="1912" ht="19.5" customHeight="1">
      <c r="A1912" s="15"/>
      <c r="B1912" s="15"/>
      <c r="C1912" s="15"/>
      <c r="D1912" s="15"/>
      <c r="E1912" s="15"/>
      <c r="F1912" s="15"/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  <c r="S1912" s="15"/>
      <c r="T1912" s="15"/>
      <c r="U1912" s="15"/>
      <c r="V1912" s="15"/>
      <c r="W1912" s="15"/>
      <c r="X1912" s="15"/>
      <c r="Y1912" s="15"/>
      <c r="Z1912" s="15"/>
      <c r="AA1912" s="15"/>
      <c r="AB1912" s="15"/>
      <c r="AC1912" s="15"/>
      <c r="AD1912" s="15"/>
      <c r="AE1912" s="15"/>
    </row>
    <row r="1913" ht="19.5" customHeight="1">
      <c r="A1913" s="15"/>
      <c r="B1913" s="15"/>
      <c r="C1913" s="15"/>
      <c r="D1913" s="15"/>
      <c r="E1913" s="15"/>
      <c r="F1913" s="15"/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  <c r="AA1913" s="15"/>
      <c r="AB1913" s="15"/>
      <c r="AC1913" s="15"/>
      <c r="AD1913" s="15"/>
      <c r="AE1913" s="15"/>
    </row>
    <row r="1914" ht="19.5" customHeight="1">
      <c r="A1914" s="15"/>
      <c r="B1914" s="15"/>
      <c r="C1914" s="15"/>
      <c r="D1914" s="15"/>
      <c r="E1914" s="15"/>
      <c r="F1914" s="15"/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  <c r="AA1914" s="15"/>
      <c r="AB1914" s="15"/>
      <c r="AC1914" s="15"/>
      <c r="AD1914" s="15"/>
      <c r="AE1914" s="15"/>
    </row>
    <row r="1915" ht="19.5" customHeight="1">
      <c r="A1915" s="15"/>
      <c r="B1915" s="15"/>
      <c r="C1915" s="15"/>
      <c r="D1915" s="15"/>
      <c r="E1915" s="15"/>
      <c r="F1915" s="15"/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  <c r="AA1915" s="15"/>
      <c r="AB1915" s="15"/>
      <c r="AC1915" s="15"/>
      <c r="AD1915" s="15"/>
      <c r="AE1915" s="15"/>
    </row>
    <row r="1916" ht="19.5" customHeight="1">
      <c r="A1916" s="15"/>
      <c r="B1916" s="15"/>
      <c r="C1916" s="15"/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  <c r="AA1916" s="15"/>
      <c r="AB1916" s="15"/>
      <c r="AC1916" s="15"/>
      <c r="AD1916" s="15"/>
      <c r="AE1916" s="15"/>
    </row>
    <row r="1917" ht="19.5" customHeight="1">
      <c r="A1917" s="15"/>
      <c r="B1917" s="15"/>
      <c r="C1917" s="15"/>
      <c r="D1917" s="15"/>
      <c r="E1917" s="15"/>
      <c r="F1917" s="15"/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  <c r="AE1917" s="15"/>
    </row>
    <row r="1918" ht="19.5" customHeight="1">
      <c r="A1918" s="15"/>
      <c r="B1918" s="15"/>
      <c r="C1918" s="15"/>
      <c r="D1918" s="15"/>
      <c r="E1918" s="15"/>
      <c r="F1918" s="15"/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  <c r="V1918" s="15"/>
      <c r="W1918" s="15"/>
      <c r="X1918" s="15"/>
      <c r="Y1918" s="15"/>
      <c r="Z1918" s="15"/>
      <c r="AA1918" s="15"/>
      <c r="AB1918" s="15"/>
      <c r="AC1918" s="15"/>
      <c r="AD1918" s="15"/>
      <c r="AE1918" s="15"/>
    </row>
    <row r="1919" ht="19.5" customHeight="1">
      <c r="A1919" s="15"/>
      <c r="B1919" s="15"/>
      <c r="C1919" s="15"/>
      <c r="D1919" s="15"/>
      <c r="E1919" s="15"/>
      <c r="F1919" s="15"/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  <c r="V1919" s="15"/>
      <c r="W1919" s="15"/>
      <c r="X1919" s="15"/>
      <c r="Y1919" s="15"/>
      <c r="Z1919" s="15"/>
      <c r="AA1919" s="15"/>
      <c r="AB1919" s="15"/>
      <c r="AC1919" s="15"/>
      <c r="AD1919" s="15"/>
      <c r="AE1919" s="15"/>
    </row>
    <row r="1920" ht="19.5" customHeight="1">
      <c r="A1920" s="15"/>
      <c r="B1920" s="15"/>
      <c r="C1920" s="15"/>
      <c r="D1920" s="15"/>
      <c r="E1920" s="15"/>
      <c r="F1920" s="15"/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  <c r="AA1920" s="15"/>
      <c r="AB1920" s="15"/>
      <c r="AC1920" s="15"/>
      <c r="AD1920" s="15"/>
      <c r="AE1920" s="15"/>
    </row>
    <row r="1921" ht="19.5" customHeight="1">
      <c r="A1921" s="15"/>
      <c r="B1921" s="15"/>
      <c r="C1921" s="15"/>
      <c r="D1921" s="15"/>
      <c r="E1921" s="15"/>
      <c r="F1921" s="15"/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  <c r="AD1921" s="15"/>
      <c r="AE1921" s="15"/>
    </row>
    <row r="1922" ht="19.5" customHeight="1">
      <c r="A1922" s="15"/>
      <c r="B1922" s="15"/>
      <c r="C1922" s="15"/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  <c r="S1922" s="15"/>
      <c r="T1922" s="15"/>
      <c r="U1922" s="15"/>
      <c r="V1922" s="15"/>
      <c r="W1922" s="15"/>
      <c r="X1922" s="15"/>
      <c r="Y1922" s="15"/>
      <c r="Z1922" s="15"/>
      <c r="AA1922" s="15"/>
      <c r="AB1922" s="15"/>
      <c r="AC1922" s="15"/>
      <c r="AD1922" s="15"/>
      <c r="AE1922" s="15"/>
    </row>
    <row r="1923" ht="19.5" customHeight="1">
      <c r="A1923" s="15"/>
      <c r="B1923" s="15"/>
      <c r="C1923" s="15"/>
      <c r="D1923" s="15"/>
      <c r="E1923" s="15"/>
      <c r="F1923" s="15"/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  <c r="AD1923" s="15"/>
      <c r="AE1923" s="15"/>
    </row>
    <row r="1924" ht="19.5" customHeight="1">
      <c r="A1924" s="15"/>
      <c r="B1924" s="15"/>
      <c r="C1924" s="15"/>
      <c r="D1924" s="15"/>
      <c r="E1924" s="15"/>
      <c r="F1924" s="15"/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  <c r="AA1924" s="15"/>
      <c r="AB1924" s="15"/>
      <c r="AC1924" s="15"/>
      <c r="AD1924" s="15"/>
      <c r="AE1924" s="15"/>
    </row>
    <row r="1925" ht="19.5" customHeight="1">
      <c r="A1925" s="15"/>
      <c r="B1925" s="15"/>
      <c r="C1925" s="15"/>
      <c r="D1925" s="15"/>
      <c r="E1925" s="15"/>
      <c r="F1925" s="15"/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  <c r="S1925" s="15"/>
      <c r="T1925" s="15"/>
      <c r="U1925" s="15"/>
      <c r="V1925" s="15"/>
      <c r="W1925" s="15"/>
      <c r="X1925" s="15"/>
      <c r="Y1925" s="15"/>
      <c r="Z1925" s="15"/>
      <c r="AA1925" s="15"/>
      <c r="AB1925" s="15"/>
      <c r="AC1925" s="15"/>
      <c r="AD1925" s="15"/>
      <c r="AE1925" s="15"/>
    </row>
    <row r="1926" ht="19.5" customHeight="1">
      <c r="A1926" s="15"/>
      <c r="B1926" s="15"/>
      <c r="C1926" s="15"/>
      <c r="D1926" s="15"/>
      <c r="E1926" s="15"/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5"/>
      <c r="W1926" s="15"/>
      <c r="X1926" s="15"/>
      <c r="Y1926" s="15"/>
      <c r="Z1926" s="15"/>
      <c r="AA1926" s="15"/>
      <c r="AB1926" s="15"/>
      <c r="AC1926" s="15"/>
      <c r="AD1926" s="15"/>
      <c r="AE1926" s="15"/>
    </row>
    <row r="1927" ht="19.5" customHeight="1">
      <c r="A1927" s="15"/>
      <c r="B1927" s="15"/>
      <c r="C1927" s="15"/>
      <c r="D1927" s="15"/>
      <c r="E1927" s="15"/>
      <c r="F1927" s="15"/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  <c r="S1927" s="15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  <c r="AD1927" s="15"/>
      <c r="AE1927" s="15"/>
    </row>
    <row r="1928" ht="19.5" customHeight="1">
      <c r="A1928" s="15"/>
      <c r="B1928" s="15"/>
      <c r="C1928" s="15"/>
      <c r="D1928" s="15"/>
      <c r="E1928" s="15"/>
      <c r="F1928" s="15"/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  <c r="S1928" s="15"/>
      <c r="T1928" s="15"/>
      <c r="U1928" s="15"/>
      <c r="V1928" s="15"/>
      <c r="W1928" s="15"/>
      <c r="X1928" s="15"/>
      <c r="Y1928" s="15"/>
      <c r="Z1928" s="15"/>
      <c r="AA1928" s="15"/>
      <c r="AB1928" s="15"/>
      <c r="AC1928" s="15"/>
      <c r="AD1928" s="15"/>
      <c r="AE1928" s="15"/>
    </row>
    <row r="1929" ht="19.5" customHeight="1">
      <c r="A1929" s="15"/>
      <c r="B1929" s="15"/>
      <c r="C1929" s="15"/>
      <c r="D1929" s="15"/>
      <c r="E1929" s="15"/>
      <c r="F1929" s="15"/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  <c r="S1929" s="15"/>
      <c r="T1929" s="15"/>
      <c r="U1929" s="15"/>
      <c r="V1929" s="15"/>
      <c r="W1929" s="15"/>
      <c r="X1929" s="15"/>
      <c r="Y1929" s="15"/>
      <c r="Z1929" s="15"/>
      <c r="AA1929" s="15"/>
      <c r="AB1929" s="15"/>
      <c r="AC1929" s="15"/>
      <c r="AD1929" s="15"/>
      <c r="AE1929" s="15"/>
    </row>
    <row r="1930" ht="19.5" customHeight="1">
      <c r="A1930" s="15"/>
      <c r="B1930" s="15"/>
      <c r="C1930" s="15"/>
      <c r="D1930" s="15"/>
      <c r="E1930" s="15"/>
      <c r="F1930" s="15"/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  <c r="S1930" s="15"/>
      <c r="T1930" s="15"/>
      <c r="U1930" s="15"/>
      <c r="V1930" s="15"/>
      <c r="W1930" s="15"/>
      <c r="X1930" s="15"/>
      <c r="Y1930" s="15"/>
      <c r="Z1930" s="15"/>
      <c r="AA1930" s="15"/>
      <c r="AB1930" s="15"/>
      <c r="AC1930" s="15"/>
      <c r="AD1930" s="15"/>
      <c r="AE1930" s="15"/>
    </row>
    <row r="1931" ht="19.5" customHeight="1">
      <c r="A1931" s="15"/>
      <c r="B1931" s="15"/>
      <c r="C1931" s="15"/>
      <c r="D1931" s="15"/>
      <c r="E1931" s="15"/>
      <c r="F1931" s="15"/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  <c r="S1931" s="15"/>
      <c r="T1931" s="15"/>
      <c r="U1931" s="15"/>
      <c r="V1931" s="15"/>
      <c r="W1931" s="15"/>
      <c r="X1931" s="15"/>
      <c r="Y1931" s="15"/>
      <c r="Z1931" s="15"/>
      <c r="AA1931" s="15"/>
      <c r="AB1931" s="15"/>
      <c r="AC1931" s="15"/>
      <c r="AD1931" s="15"/>
      <c r="AE1931" s="15"/>
    </row>
    <row r="1932" ht="19.5" customHeight="1">
      <c r="A1932" s="15"/>
      <c r="B1932" s="15"/>
      <c r="C1932" s="15"/>
      <c r="D1932" s="15"/>
      <c r="E1932" s="15"/>
      <c r="F1932" s="15"/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  <c r="AA1932" s="15"/>
      <c r="AB1932" s="15"/>
      <c r="AC1932" s="15"/>
      <c r="AD1932" s="15"/>
      <c r="AE1932" s="15"/>
    </row>
    <row r="1933" ht="19.5" customHeight="1">
      <c r="A1933" s="15"/>
      <c r="B1933" s="15"/>
      <c r="C1933" s="15"/>
      <c r="D1933" s="15"/>
      <c r="E1933" s="15"/>
      <c r="F1933" s="15"/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/>
      <c r="AB1933" s="15"/>
      <c r="AC1933" s="15"/>
      <c r="AD1933" s="15"/>
      <c r="AE1933" s="15"/>
    </row>
    <row r="1934" ht="19.5" customHeight="1">
      <c r="A1934" s="15"/>
      <c r="B1934" s="15"/>
      <c r="C1934" s="15"/>
      <c r="D1934" s="15"/>
      <c r="E1934" s="15"/>
      <c r="F1934" s="15"/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  <c r="S1934" s="15"/>
      <c r="T1934" s="15"/>
      <c r="U1934" s="15"/>
      <c r="V1934" s="15"/>
      <c r="W1934" s="15"/>
      <c r="X1934" s="15"/>
      <c r="Y1934" s="15"/>
      <c r="Z1934" s="15"/>
      <c r="AA1934" s="15"/>
      <c r="AB1934" s="15"/>
      <c r="AC1934" s="15"/>
      <c r="AD1934" s="15"/>
      <c r="AE1934" s="15"/>
    </row>
    <row r="1935" ht="19.5" customHeight="1">
      <c r="A1935" s="15"/>
      <c r="B1935" s="15"/>
      <c r="C1935" s="15"/>
      <c r="D1935" s="15"/>
      <c r="E1935" s="15"/>
      <c r="F1935" s="15"/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  <c r="S1935" s="15"/>
      <c r="T1935" s="15"/>
      <c r="U1935" s="15"/>
      <c r="V1935" s="15"/>
      <c r="W1935" s="15"/>
      <c r="X1935" s="15"/>
      <c r="Y1935" s="15"/>
      <c r="Z1935" s="15"/>
      <c r="AA1935" s="15"/>
      <c r="AB1935" s="15"/>
      <c r="AC1935" s="15"/>
      <c r="AD1935" s="15"/>
      <c r="AE1935" s="15"/>
    </row>
    <row r="1936" ht="19.5" customHeight="1">
      <c r="A1936" s="15"/>
      <c r="B1936" s="15"/>
      <c r="C1936" s="15"/>
      <c r="D1936" s="15"/>
      <c r="E1936" s="15"/>
      <c r="F1936" s="15"/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  <c r="S1936" s="15"/>
      <c r="T1936" s="15"/>
      <c r="U1936" s="15"/>
      <c r="V1936" s="15"/>
      <c r="W1936" s="15"/>
      <c r="X1936" s="15"/>
      <c r="Y1936" s="15"/>
      <c r="Z1936" s="15"/>
      <c r="AA1936" s="15"/>
      <c r="AB1936" s="15"/>
      <c r="AC1936" s="15"/>
      <c r="AD1936" s="15"/>
      <c r="AE1936" s="15"/>
    </row>
    <row r="1937" ht="19.5" customHeight="1">
      <c r="A1937" s="15"/>
      <c r="B1937" s="15"/>
      <c r="C1937" s="15"/>
      <c r="D1937" s="15"/>
      <c r="E1937" s="15"/>
      <c r="F1937" s="15"/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  <c r="S1937" s="15"/>
      <c r="T1937" s="15"/>
      <c r="U1937" s="15"/>
      <c r="V1937" s="15"/>
      <c r="W1937" s="15"/>
      <c r="X1937" s="15"/>
      <c r="Y1937" s="15"/>
      <c r="Z1937" s="15"/>
      <c r="AA1937" s="15"/>
      <c r="AB1937" s="15"/>
      <c r="AC1937" s="15"/>
      <c r="AD1937" s="15"/>
      <c r="AE1937" s="15"/>
    </row>
    <row r="1938" ht="19.5" customHeight="1">
      <c r="A1938" s="15"/>
      <c r="B1938" s="15"/>
      <c r="C1938" s="15"/>
      <c r="D1938" s="15"/>
      <c r="E1938" s="15"/>
      <c r="F1938" s="15"/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  <c r="AA1938" s="15"/>
      <c r="AB1938" s="15"/>
      <c r="AC1938" s="15"/>
      <c r="AD1938" s="15"/>
      <c r="AE1938" s="15"/>
    </row>
    <row r="1939" ht="19.5" customHeight="1">
      <c r="A1939" s="15"/>
      <c r="B1939" s="15"/>
      <c r="C1939" s="15"/>
      <c r="D1939" s="15"/>
      <c r="E1939" s="15"/>
      <c r="F1939" s="15"/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  <c r="S1939" s="15"/>
      <c r="T1939" s="15"/>
      <c r="U1939" s="15"/>
      <c r="V1939" s="15"/>
      <c r="W1939" s="15"/>
      <c r="X1939" s="15"/>
      <c r="Y1939" s="15"/>
      <c r="Z1939" s="15"/>
      <c r="AA1939" s="15"/>
      <c r="AB1939" s="15"/>
      <c r="AC1939" s="15"/>
      <c r="AD1939" s="15"/>
      <c r="AE1939" s="15"/>
    </row>
    <row r="1940" ht="19.5" customHeight="1">
      <c r="A1940" s="15"/>
      <c r="B1940" s="15"/>
      <c r="C1940" s="15"/>
      <c r="D1940" s="15"/>
      <c r="E1940" s="15"/>
      <c r="F1940" s="15"/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  <c r="S1940" s="15"/>
      <c r="T1940" s="15"/>
      <c r="U1940" s="15"/>
      <c r="V1940" s="15"/>
      <c r="W1940" s="15"/>
      <c r="X1940" s="15"/>
      <c r="Y1940" s="15"/>
      <c r="Z1940" s="15"/>
      <c r="AA1940" s="15"/>
      <c r="AB1940" s="15"/>
      <c r="AC1940" s="15"/>
      <c r="AD1940" s="15"/>
      <c r="AE1940" s="15"/>
    </row>
    <row r="1941" ht="19.5" customHeight="1">
      <c r="A1941" s="15"/>
      <c r="B1941" s="15"/>
      <c r="C1941" s="15"/>
      <c r="D1941" s="15"/>
      <c r="E1941" s="15"/>
      <c r="F1941" s="15"/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  <c r="S1941" s="15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  <c r="AD1941" s="15"/>
      <c r="AE1941" s="15"/>
    </row>
    <row r="1942" ht="19.5" customHeight="1">
      <c r="A1942" s="15"/>
      <c r="B1942" s="15"/>
      <c r="C1942" s="15"/>
      <c r="D1942" s="15"/>
      <c r="E1942" s="15"/>
      <c r="F1942" s="15"/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  <c r="S1942" s="15"/>
      <c r="T1942" s="15"/>
      <c r="U1942" s="15"/>
      <c r="V1942" s="15"/>
      <c r="W1942" s="15"/>
      <c r="X1942" s="15"/>
      <c r="Y1942" s="15"/>
      <c r="Z1942" s="15"/>
      <c r="AA1942" s="15"/>
      <c r="AB1942" s="15"/>
      <c r="AC1942" s="15"/>
      <c r="AD1942" s="15"/>
      <c r="AE1942" s="15"/>
    </row>
    <row r="1943" ht="19.5" customHeight="1">
      <c r="A1943" s="15"/>
      <c r="B1943" s="15"/>
      <c r="C1943" s="15"/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  <c r="AD1943" s="15"/>
      <c r="AE1943" s="15"/>
    </row>
    <row r="1944" ht="19.5" customHeight="1">
      <c r="A1944" s="15"/>
      <c r="B1944" s="15"/>
      <c r="C1944" s="15"/>
      <c r="D1944" s="15"/>
      <c r="E1944" s="15"/>
      <c r="F1944" s="15"/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  <c r="S1944" s="15"/>
      <c r="T1944" s="15"/>
      <c r="U1944" s="15"/>
      <c r="V1944" s="15"/>
      <c r="W1944" s="15"/>
      <c r="X1944" s="15"/>
      <c r="Y1944" s="15"/>
      <c r="Z1944" s="15"/>
      <c r="AA1944" s="15"/>
      <c r="AB1944" s="15"/>
      <c r="AC1944" s="15"/>
      <c r="AD1944" s="15"/>
      <c r="AE1944" s="15"/>
    </row>
    <row r="1945" ht="19.5" customHeight="1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  <c r="S1945" s="15"/>
      <c r="T1945" s="15"/>
      <c r="U1945" s="15"/>
      <c r="V1945" s="15"/>
      <c r="W1945" s="15"/>
      <c r="X1945" s="15"/>
      <c r="Y1945" s="15"/>
      <c r="Z1945" s="15"/>
      <c r="AA1945" s="15"/>
      <c r="AB1945" s="15"/>
      <c r="AC1945" s="15"/>
      <c r="AD1945" s="15"/>
      <c r="AE1945" s="15"/>
    </row>
    <row r="1946" ht="19.5" customHeight="1">
      <c r="A1946" s="15"/>
      <c r="B1946" s="15"/>
      <c r="C1946" s="15"/>
      <c r="D1946" s="15"/>
      <c r="E1946" s="15"/>
      <c r="F1946" s="15"/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  <c r="S1946" s="15"/>
      <c r="T1946" s="15"/>
      <c r="U1946" s="15"/>
      <c r="V1946" s="15"/>
      <c r="W1946" s="15"/>
      <c r="X1946" s="15"/>
      <c r="Y1946" s="15"/>
      <c r="Z1946" s="15"/>
      <c r="AA1946" s="15"/>
      <c r="AB1946" s="15"/>
      <c r="AC1946" s="15"/>
      <c r="AD1946" s="15"/>
      <c r="AE1946" s="15"/>
    </row>
    <row r="1947" ht="19.5" customHeight="1">
      <c r="A1947" s="15"/>
      <c r="B1947" s="15"/>
      <c r="C1947" s="15"/>
      <c r="D1947" s="15"/>
      <c r="E1947" s="15"/>
      <c r="F1947" s="15"/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  <c r="AA1947" s="15"/>
      <c r="AB1947" s="15"/>
      <c r="AC1947" s="15"/>
      <c r="AD1947" s="15"/>
      <c r="AE1947" s="15"/>
    </row>
    <row r="1948" ht="19.5" customHeight="1">
      <c r="A1948" s="15"/>
      <c r="B1948" s="15"/>
      <c r="C1948" s="15"/>
      <c r="D1948" s="15"/>
      <c r="E1948" s="15"/>
      <c r="F1948" s="15"/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  <c r="S1948" s="15"/>
      <c r="T1948" s="15"/>
      <c r="U1948" s="15"/>
      <c r="V1948" s="15"/>
      <c r="W1948" s="15"/>
      <c r="X1948" s="15"/>
      <c r="Y1948" s="15"/>
      <c r="Z1948" s="15"/>
      <c r="AA1948" s="15"/>
      <c r="AB1948" s="15"/>
      <c r="AC1948" s="15"/>
      <c r="AD1948" s="15"/>
      <c r="AE1948" s="15"/>
    </row>
    <row r="1949" ht="19.5" customHeight="1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/>
      <c r="AB1949" s="15"/>
      <c r="AC1949" s="15"/>
      <c r="AD1949" s="15"/>
      <c r="AE1949" s="15"/>
    </row>
    <row r="1950" ht="19.5" customHeight="1">
      <c r="A1950" s="15"/>
      <c r="B1950" s="15"/>
      <c r="C1950" s="15"/>
      <c r="D1950" s="15"/>
      <c r="E1950" s="15"/>
      <c r="F1950" s="15"/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  <c r="S1950" s="15"/>
      <c r="T1950" s="15"/>
      <c r="U1950" s="15"/>
      <c r="V1950" s="15"/>
      <c r="W1950" s="15"/>
      <c r="X1950" s="15"/>
      <c r="Y1950" s="15"/>
      <c r="Z1950" s="15"/>
      <c r="AA1950" s="15"/>
      <c r="AB1950" s="15"/>
      <c r="AC1950" s="15"/>
      <c r="AD1950" s="15"/>
      <c r="AE1950" s="15"/>
    </row>
    <row r="1951" ht="19.5" customHeight="1">
      <c r="A1951" s="15"/>
      <c r="B1951" s="15"/>
      <c r="C1951" s="15"/>
      <c r="D1951" s="15"/>
      <c r="E1951" s="15"/>
      <c r="F1951" s="15"/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  <c r="AA1951" s="15"/>
      <c r="AB1951" s="15"/>
      <c r="AC1951" s="15"/>
      <c r="AD1951" s="15"/>
      <c r="AE1951" s="15"/>
    </row>
    <row r="1952" ht="19.5" customHeight="1">
      <c r="A1952" s="15"/>
      <c r="B1952" s="15"/>
      <c r="C1952" s="15"/>
      <c r="D1952" s="15"/>
      <c r="E1952" s="15"/>
      <c r="F1952" s="15"/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  <c r="S1952" s="15"/>
      <c r="T1952" s="15"/>
      <c r="U1952" s="15"/>
      <c r="V1952" s="15"/>
      <c r="W1952" s="15"/>
      <c r="X1952" s="15"/>
      <c r="Y1952" s="15"/>
      <c r="Z1952" s="15"/>
      <c r="AA1952" s="15"/>
      <c r="AB1952" s="15"/>
      <c r="AC1952" s="15"/>
      <c r="AD1952" s="15"/>
      <c r="AE1952" s="15"/>
    </row>
    <row r="1953" ht="19.5" customHeight="1">
      <c r="A1953" s="15"/>
      <c r="B1953" s="15"/>
      <c r="C1953" s="15"/>
      <c r="D1953" s="15"/>
      <c r="E1953" s="15"/>
      <c r="F1953" s="15"/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  <c r="AA1953" s="15"/>
      <c r="AB1953" s="15"/>
      <c r="AC1953" s="15"/>
      <c r="AD1953" s="15"/>
      <c r="AE1953" s="15"/>
    </row>
    <row r="1954" ht="19.5" customHeight="1">
      <c r="A1954" s="15"/>
      <c r="B1954" s="15"/>
      <c r="C1954" s="15"/>
      <c r="D1954" s="15"/>
      <c r="E1954" s="15"/>
      <c r="F1954" s="15"/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  <c r="S1954" s="15"/>
      <c r="T1954" s="15"/>
      <c r="U1954" s="15"/>
      <c r="V1954" s="15"/>
      <c r="W1954" s="15"/>
      <c r="X1954" s="15"/>
      <c r="Y1954" s="15"/>
      <c r="Z1954" s="15"/>
      <c r="AA1954" s="15"/>
      <c r="AB1954" s="15"/>
      <c r="AC1954" s="15"/>
      <c r="AD1954" s="15"/>
      <c r="AE1954" s="15"/>
    </row>
    <row r="1955" ht="19.5" customHeight="1">
      <c r="A1955" s="15"/>
      <c r="B1955" s="15"/>
      <c r="C1955" s="15"/>
      <c r="D1955" s="15"/>
      <c r="E1955" s="15"/>
      <c r="F1955" s="15"/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  <c r="S1955" s="15"/>
      <c r="T1955" s="15"/>
      <c r="U1955" s="15"/>
      <c r="V1955" s="15"/>
      <c r="W1955" s="15"/>
      <c r="X1955" s="15"/>
      <c r="Y1955" s="15"/>
      <c r="Z1955" s="15"/>
      <c r="AA1955" s="15"/>
      <c r="AB1955" s="15"/>
      <c r="AC1955" s="15"/>
      <c r="AD1955" s="15"/>
      <c r="AE1955" s="15"/>
    </row>
    <row r="1956" ht="19.5" customHeight="1">
      <c r="A1956" s="15"/>
      <c r="B1956" s="15"/>
      <c r="C1956" s="15"/>
      <c r="D1956" s="15"/>
      <c r="E1956" s="15"/>
      <c r="F1956" s="15"/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  <c r="S1956" s="15"/>
      <c r="T1956" s="15"/>
      <c r="U1956" s="15"/>
      <c r="V1956" s="15"/>
      <c r="W1956" s="15"/>
      <c r="X1956" s="15"/>
      <c r="Y1956" s="15"/>
      <c r="Z1956" s="15"/>
      <c r="AA1956" s="15"/>
      <c r="AB1956" s="15"/>
      <c r="AC1956" s="15"/>
      <c r="AD1956" s="15"/>
      <c r="AE1956" s="15"/>
    </row>
    <row r="1957" ht="19.5" customHeight="1">
      <c r="A1957" s="15"/>
      <c r="B1957" s="15"/>
      <c r="C1957" s="15"/>
      <c r="D1957" s="15"/>
      <c r="E1957" s="15"/>
      <c r="F1957" s="15"/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  <c r="S1957" s="15"/>
      <c r="T1957" s="15"/>
      <c r="U1957" s="15"/>
      <c r="V1957" s="15"/>
      <c r="W1957" s="15"/>
      <c r="X1957" s="15"/>
      <c r="Y1957" s="15"/>
      <c r="Z1957" s="15"/>
      <c r="AA1957" s="15"/>
      <c r="AB1957" s="15"/>
      <c r="AC1957" s="15"/>
      <c r="AD1957" s="15"/>
      <c r="AE1957" s="15"/>
    </row>
    <row r="1958" ht="19.5" customHeight="1">
      <c r="A1958" s="15"/>
      <c r="B1958" s="15"/>
      <c r="C1958" s="15"/>
      <c r="D1958" s="15"/>
      <c r="E1958" s="15"/>
      <c r="F1958" s="15"/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  <c r="AA1958" s="15"/>
      <c r="AB1958" s="15"/>
      <c r="AC1958" s="15"/>
      <c r="AD1958" s="15"/>
      <c r="AE1958" s="15"/>
    </row>
    <row r="1959" ht="19.5" customHeight="1">
      <c r="A1959" s="15"/>
      <c r="B1959" s="15"/>
      <c r="C1959" s="15"/>
      <c r="D1959" s="15"/>
      <c r="E1959" s="15"/>
      <c r="F1959" s="15"/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  <c r="S1959" s="15"/>
      <c r="T1959" s="15"/>
      <c r="U1959" s="15"/>
      <c r="V1959" s="15"/>
      <c r="W1959" s="15"/>
      <c r="X1959" s="15"/>
      <c r="Y1959" s="15"/>
      <c r="Z1959" s="15"/>
      <c r="AA1959" s="15"/>
      <c r="AB1959" s="15"/>
      <c r="AC1959" s="15"/>
      <c r="AD1959" s="15"/>
      <c r="AE1959" s="15"/>
    </row>
    <row r="1960" ht="19.5" customHeight="1">
      <c r="A1960" s="15"/>
      <c r="B1960" s="15"/>
      <c r="C1960" s="15"/>
      <c r="D1960" s="15"/>
      <c r="E1960" s="15"/>
      <c r="F1960" s="15"/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  <c r="AA1960" s="15"/>
      <c r="AB1960" s="15"/>
      <c r="AC1960" s="15"/>
      <c r="AD1960" s="15"/>
      <c r="AE1960" s="15"/>
    </row>
    <row r="1961" ht="19.5" customHeight="1">
      <c r="A1961" s="15"/>
      <c r="B1961" s="15"/>
      <c r="C1961" s="15"/>
      <c r="D1961" s="15"/>
      <c r="E1961" s="15"/>
      <c r="F1961" s="15"/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  <c r="S1961" s="15"/>
      <c r="T1961" s="15"/>
      <c r="U1961" s="15"/>
      <c r="V1961" s="15"/>
      <c r="W1961" s="15"/>
      <c r="X1961" s="15"/>
      <c r="Y1961" s="15"/>
      <c r="Z1961" s="15"/>
      <c r="AA1961" s="15"/>
      <c r="AB1961" s="15"/>
      <c r="AC1961" s="15"/>
      <c r="AD1961" s="15"/>
      <c r="AE1961" s="15"/>
    </row>
    <row r="1962" ht="19.5" customHeight="1">
      <c r="A1962" s="15"/>
      <c r="B1962" s="15"/>
      <c r="C1962" s="15"/>
      <c r="D1962" s="15"/>
      <c r="E1962" s="15"/>
      <c r="F1962" s="15"/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  <c r="S1962" s="15"/>
      <c r="T1962" s="15"/>
      <c r="U1962" s="15"/>
      <c r="V1962" s="15"/>
      <c r="W1962" s="15"/>
      <c r="X1962" s="15"/>
      <c r="Y1962" s="15"/>
      <c r="Z1962" s="15"/>
      <c r="AA1962" s="15"/>
      <c r="AB1962" s="15"/>
      <c r="AC1962" s="15"/>
      <c r="AD1962" s="15"/>
      <c r="AE1962" s="15"/>
    </row>
    <row r="1963" ht="19.5" customHeight="1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  <c r="AD1963" s="15"/>
      <c r="AE1963" s="15"/>
    </row>
    <row r="1964" ht="19.5" customHeight="1">
      <c r="A1964" s="15"/>
      <c r="B1964" s="15"/>
      <c r="C1964" s="15"/>
      <c r="D1964" s="15"/>
      <c r="E1964" s="15"/>
      <c r="F1964" s="15"/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  <c r="AA1964" s="15"/>
      <c r="AB1964" s="15"/>
      <c r="AC1964" s="15"/>
      <c r="AD1964" s="15"/>
      <c r="AE1964" s="15"/>
    </row>
    <row r="1965" ht="19.5" customHeight="1">
      <c r="A1965" s="15"/>
      <c r="B1965" s="15"/>
      <c r="C1965" s="15"/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  <c r="S1965" s="15"/>
      <c r="T1965" s="15"/>
      <c r="U1965" s="15"/>
      <c r="V1965" s="15"/>
      <c r="W1965" s="15"/>
      <c r="X1965" s="15"/>
      <c r="Y1965" s="15"/>
      <c r="Z1965" s="15"/>
      <c r="AA1965" s="15"/>
      <c r="AB1965" s="15"/>
      <c r="AC1965" s="15"/>
      <c r="AD1965" s="15"/>
      <c r="AE1965" s="15"/>
    </row>
    <row r="1966" ht="19.5" customHeight="1">
      <c r="A1966" s="15"/>
      <c r="B1966" s="15"/>
      <c r="C1966" s="15"/>
      <c r="D1966" s="15"/>
      <c r="E1966" s="15"/>
      <c r="F1966" s="15"/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  <c r="AA1966" s="15"/>
      <c r="AB1966" s="15"/>
      <c r="AC1966" s="15"/>
      <c r="AD1966" s="15"/>
      <c r="AE1966" s="15"/>
    </row>
    <row r="1967" ht="19.5" customHeight="1">
      <c r="A1967" s="15"/>
      <c r="B1967" s="15"/>
      <c r="C1967" s="15"/>
      <c r="D1967" s="15"/>
      <c r="E1967" s="15"/>
      <c r="F1967" s="15"/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</row>
    <row r="1968" ht="19.5" customHeight="1">
      <c r="A1968" s="15"/>
      <c r="B1968" s="15"/>
      <c r="C1968" s="15"/>
      <c r="D1968" s="15"/>
      <c r="E1968" s="15"/>
      <c r="F1968" s="15"/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  <c r="AD1968" s="15"/>
      <c r="AE1968" s="15"/>
    </row>
    <row r="1969" ht="19.5" customHeight="1">
      <c r="A1969" s="15"/>
      <c r="B1969" s="15"/>
      <c r="C1969" s="15"/>
      <c r="D1969" s="15"/>
      <c r="E1969" s="15"/>
      <c r="F1969" s="15"/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  <c r="AD1969" s="15"/>
      <c r="AE1969" s="15"/>
    </row>
    <row r="1970" ht="19.5" customHeight="1">
      <c r="A1970" s="15"/>
      <c r="B1970" s="15"/>
      <c r="C1970" s="15"/>
      <c r="D1970" s="15"/>
      <c r="E1970" s="15"/>
      <c r="F1970" s="15"/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  <c r="V1970" s="15"/>
      <c r="W1970" s="15"/>
      <c r="X1970" s="15"/>
      <c r="Y1970" s="15"/>
      <c r="Z1970" s="15"/>
      <c r="AA1970" s="15"/>
      <c r="AB1970" s="15"/>
      <c r="AC1970" s="15"/>
      <c r="AD1970" s="15"/>
      <c r="AE1970" s="15"/>
    </row>
    <row r="1971" ht="19.5" customHeight="1">
      <c r="A1971" s="15"/>
      <c r="B1971" s="15"/>
      <c r="C1971" s="15"/>
      <c r="D1971" s="15"/>
      <c r="E1971" s="15"/>
      <c r="F1971" s="15"/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  <c r="V1971" s="15"/>
      <c r="W1971" s="15"/>
      <c r="X1971" s="15"/>
      <c r="Y1971" s="15"/>
      <c r="Z1971" s="15"/>
      <c r="AA1971" s="15"/>
      <c r="AB1971" s="15"/>
      <c r="AC1971" s="15"/>
      <c r="AD1971" s="15"/>
      <c r="AE1971" s="15"/>
    </row>
    <row r="1972" ht="19.5" customHeight="1">
      <c r="A1972" s="15"/>
      <c r="B1972" s="15"/>
      <c r="C1972" s="15"/>
      <c r="D1972" s="15"/>
      <c r="E1972" s="15"/>
      <c r="F1972" s="15"/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/>
      <c r="AB1972" s="15"/>
      <c r="AC1972" s="15"/>
      <c r="AD1972" s="15"/>
      <c r="AE1972" s="15"/>
    </row>
    <row r="1973" ht="19.5" customHeight="1">
      <c r="A1973" s="15"/>
      <c r="B1973" s="15"/>
      <c r="C1973" s="15"/>
      <c r="D1973" s="15"/>
      <c r="E1973" s="15"/>
      <c r="F1973" s="15"/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  <c r="AD1973" s="15"/>
      <c r="AE1973" s="15"/>
    </row>
    <row r="1974" ht="19.5" customHeight="1">
      <c r="A1974" s="15"/>
      <c r="B1974" s="15"/>
      <c r="C1974" s="15"/>
      <c r="D1974" s="15"/>
      <c r="E1974" s="15"/>
      <c r="F1974" s="15"/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  <c r="V1974" s="15"/>
      <c r="W1974" s="15"/>
      <c r="X1974" s="15"/>
      <c r="Y1974" s="15"/>
      <c r="Z1974" s="15"/>
      <c r="AA1974" s="15"/>
      <c r="AB1974" s="15"/>
      <c r="AC1974" s="15"/>
      <c r="AD1974" s="15"/>
      <c r="AE1974" s="15"/>
    </row>
    <row r="1975" ht="19.5" customHeight="1">
      <c r="A1975" s="15"/>
      <c r="B1975" s="15"/>
      <c r="C1975" s="15"/>
      <c r="D1975" s="15"/>
      <c r="E1975" s="15"/>
      <c r="F1975" s="15"/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  <c r="AA1975" s="15"/>
      <c r="AB1975" s="15"/>
      <c r="AC1975" s="15"/>
      <c r="AD1975" s="15"/>
      <c r="AE1975" s="15"/>
    </row>
    <row r="1976" ht="19.5" customHeight="1">
      <c r="A1976" s="15"/>
      <c r="B1976" s="15"/>
      <c r="C1976" s="15"/>
      <c r="D1976" s="15"/>
      <c r="E1976" s="15"/>
      <c r="F1976" s="15"/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  <c r="V1976" s="15"/>
      <c r="W1976" s="15"/>
      <c r="X1976" s="15"/>
      <c r="Y1976" s="15"/>
      <c r="Z1976" s="15"/>
      <c r="AA1976" s="15"/>
      <c r="AB1976" s="15"/>
      <c r="AC1976" s="15"/>
      <c r="AD1976" s="15"/>
      <c r="AE1976" s="15"/>
    </row>
    <row r="1977" ht="19.5" customHeight="1">
      <c r="A1977" s="15"/>
      <c r="B1977" s="15"/>
      <c r="C1977" s="15"/>
      <c r="D1977" s="15"/>
      <c r="E1977" s="15"/>
      <c r="F1977" s="15"/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  <c r="V1977" s="15"/>
      <c r="W1977" s="15"/>
      <c r="X1977" s="15"/>
      <c r="Y1977" s="15"/>
      <c r="Z1977" s="15"/>
      <c r="AA1977" s="15"/>
      <c r="AB1977" s="15"/>
      <c r="AC1977" s="15"/>
      <c r="AD1977" s="15"/>
      <c r="AE1977" s="15"/>
    </row>
    <row r="1978" ht="19.5" customHeight="1">
      <c r="A1978" s="15"/>
      <c r="B1978" s="15"/>
      <c r="C1978" s="15"/>
      <c r="D1978" s="15"/>
      <c r="E1978" s="15"/>
      <c r="F1978" s="15"/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  <c r="AA1978" s="15"/>
      <c r="AB1978" s="15"/>
      <c r="AC1978" s="15"/>
      <c r="AD1978" s="15"/>
      <c r="AE1978" s="15"/>
    </row>
    <row r="1979" ht="19.5" customHeight="1">
      <c r="A1979" s="15"/>
      <c r="B1979" s="15"/>
      <c r="C1979" s="15"/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  <c r="V1979" s="15"/>
      <c r="W1979" s="15"/>
      <c r="X1979" s="15"/>
      <c r="Y1979" s="15"/>
      <c r="Z1979" s="15"/>
      <c r="AA1979" s="15"/>
      <c r="AB1979" s="15"/>
      <c r="AC1979" s="15"/>
      <c r="AD1979" s="15"/>
      <c r="AE1979" s="15"/>
    </row>
    <row r="1980" ht="19.5" customHeight="1">
      <c r="A1980" s="15"/>
      <c r="B1980" s="15"/>
      <c r="C1980" s="15"/>
      <c r="D1980" s="15"/>
      <c r="E1980" s="15"/>
      <c r="F1980" s="15"/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  <c r="V1980" s="15"/>
      <c r="W1980" s="15"/>
      <c r="X1980" s="15"/>
      <c r="Y1980" s="15"/>
      <c r="Z1980" s="15"/>
      <c r="AA1980" s="15"/>
      <c r="AB1980" s="15"/>
      <c r="AC1980" s="15"/>
      <c r="AD1980" s="15"/>
      <c r="AE1980" s="15"/>
    </row>
    <row r="1981" ht="19.5" customHeight="1">
      <c r="A1981" s="15"/>
      <c r="B1981" s="15"/>
      <c r="C1981" s="15"/>
      <c r="D1981" s="15"/>
      <c r="E1981" s="15"/>
      <c r="F1981" s="15"/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  <c r="AA1981" s="15"/>
      <c r="AB1981" s="15"/>
      <c r="AC1981" s="15"/>
      <c r="AD1981" s="15"/>
      <c r="AE1981" s="15"/>
    </row>
    <row r="1982" ht="19.5" customHeight="1">
      <c r="A1982" s="15"/>
      <c r="B1982" s="15"/>
      <c r="C1982" s="15"/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  <c r="S1982" s="15"/>
      <c r="T1982" s="15"/>
      <c r="U1982" s="15"/>
      <c r="V1982" s="15"/>
      <c r="W1982" s="15"/>
      <c r="X1982" s="15"/>
      <c r="Y1982" s="15"/>
      <c r="Z1982" s="15"/>
      <c r="AA1982" s="15"/>
      <c r="AB1982" s="15"/>
      <c r="AC1982" s="15"/>
      <c r="AD1982" s="15"/>
      <c r="AE1982" s="15"/>
    </row>
    <row r="1983" ht="19.5" customHeight="1">
      <c r="A1983" s="15"/>
      <c r="B1983" s="15"/>
      <c r="C1983" s="15"/>
      <c r="D1983" s="15"/>
      <c r="E1983" s="15"/>
      <c r="F1983" s="15"/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  <c r="S1983" s="15"/>
      <c r="T1983" s="15"/>
      <c r="U1983" s="15"/>
      <c r="V1983" s="15"/>
      <c r="W1983" s="15"/>
      <c r="X1983" s="15"/>
      <c r="Y1983" s="15"/>
      <c r="Z1983" s="15"/>
      <c r="AA1983" s="15"/>
      <c r="AB1983" s="15"/>
      <c r="AC1983" s="15"/>
      <c r="AD1983" s="15"/>
      <c r="AE1983" s="15"/>
    </row>
    <row r="1984" ht="19.5" customHeight="1">
      <c r="A1984" s="15"/>
      <c r="B1984" s="15"/>
      <c r="C1984" s="15"/>
      <c r="D1984" s="15"/>
      <c r="E1984" s="15"/>
      <c r="F1984" s="15"/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  <c r="AA1984" s="15"/>
      <c r="AB1984" s="15"/>
      <c r="AC1984" s="15"/>
      <c r="AD1984" s="15"/>
      <c r="AE1984" s="15"/>
    </row>
    <row r="1985" ht="19.5" customHeight="1">
      <c r="A1985" s="15"/>
      <c r="B1985" s="15"/>
      <c r="C1985" s="15"/>
      <c r="D1985" s="15"/>
      <c r="E1985" s="15"/>
      <c r="F1985" s="15"/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  <c r="AA1985" s="15"/>
      <c r="AB1985" s="15"/>
      <c r="AC1985" s="15"/>
      <c r="AD1985" s="15"/>
      <c r="AE1985" s="15"/>
    </row>
    <row r="1986" ht="19.5" customHeight="1">
      <c r="A1986" s="15"/>
      <c r="B1986" s="15"/>
      <c r="C1986" s="15"/>
      <c r="D1986" s="15"/>
      <c r="E1986" s="15"/>
      <c r="F1986" s="15"/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  <c r="AA1986" s="15"/>
      <c r="AB1986" s="15"/>
      <c r="AC1986" s="15"/>
      <c r="AD1986" s="15"/>
      <c r="AE1986" s="15"/>
    </row>
    <row r="1987" ht="19.5" customHeight="1">
      <c r="A1987" s="15"/>
      <c r="B1987" s="15"/>
      <c r="C1987" s="15"/>
      <c r="D1987" s="15"/>
      <c r="E1987" s="15"/>
      <c r="F1987" s="15"/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  <c r="AA1987" s="15"/>
      <c r="AB1987" s="15"/>
      <c r="AC1987" s="15"/>
      <c r="AD1987" s="15"/>
      <c r="AE1987" s="15"/>
    </row>
    <row r="1988" ht="19.5" customHeight="1">
      <c r="A1988" s="15"/>
      <c r="B1988" s="15"/>
      <c r="C1988" s="15"/>
      <c r="D1988" s="15"/>
      <c r="E1988" s="15"/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  <c r="AA1988" s="15"/>
      <c r="AB1988" s="15"/>
      <c r="AC1988" s="15"/>
      <c r="AD1988" s="15"/>
      <c r="AE1988" s="15"/>
    </row>
    <row r="1989" ht="19.5" customHeight="1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  <c r="S1989" s="15"/>
      <c r="T1989" s="15"/>
      <c r="U1989" s="15"/>
      <c r="V1989" s="15"/>
      <c r="W1989" s="15"/>
      <c r="X1989" s="15"/>
      <c r="Y1989" s="15"/>
      <c r="Z1989" s="15"/>
      <c r="AA1989" s="15"/>
      <c r="AB1989" s="15"/>
      <c r="AC1989" s="15"/>
      <c r="AD1989" s="15"/>
      <c r="AE1989" s="15"/>
    </row>
    <row r="1990" ht="19.5" customHeight="1">
      <c r="A1990" s="15"/>
      <c r="B1990" s="15"/>
      <c r="C1990" s="15"/>
      <c r="D1990" s="15"/>
      <c r="E1990" s="15"/>
      <c r="F1990" s="15"/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  <c r="S1990" s="15"/>
      <c r="T1990" s="15"/>
      <c r="U1990" s="15"/>
      <c r="V1990" s="15"/>
      <c r="W1990" s="15"/>
      <c r="X1990" s="15"/>
      <c r="Y1990" s="15"/>
      <c r="Z1990" s="15"/>
      <c r="AA1990" s="15"/>
      <c r="AB1990" s="15"/>
      <c r="AC1990" s="15"/>
      <c r="AD1990" s="15"/>
      <c r="AE1990" s="15"/>
    </row>
    <row r="1991" ht="19.5" customHeight="1">
      <c r="A1991" s="15"/>
      <c r="B1991" s="15"/>
      <c r="C1991" s="15"/>
      <c r="D1991" s="15"/>
      <c r="E1991" s="15"/>
      <c r="F1991" s="15"/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  <c r="AA1991" s="15"/>
      <c r="AB1991" s="15"/>
      <c r="AC1991" s="15"/>
      <c r="AD1991" s="15"/>
      <c r="AE1991" s="15"/>
    </row>
    <row r="1992" ht="19.5" customHeight="1">
      <c r="A1992" s="15"/>
      <c r="B1992" s="15"/>
      <c r="C1992" s="15"/>
      <c r="D1992" s="15"/>
      <c r="E1992" s="15"/>
      <c r="F1992" s="15"/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  <c r="S1992" s="15"/>
      <c r="T1992" s="15"/>
      <c r="U1992" s="15"/>
      <c r="V1992" s="15"/>
      <c r="W1992" s="15"/>
      <c r="X1992" s="15"/>
      <c r="Y1992" s="15"/>
      <c r="Z1992" s="15"/>
      <c r="AA1992" s="15"/>
      <c r="AB1992" s="15"/>
      <c r="AC1992" s="15"/>
      <c r="AD1992" s="15"/>
      <c r="AE1992" s="15"/>
    </row>
    <row r="1993" ht="19.5" customHeight="1">
      <c r="A1993" s="15"/>
      <c r="B1993" s="15"/>
      <c r="C1993" s="15"/>
      <c r="D1993" s="15"/>
      <c r="E1993" s="15"/>
      <c r="F1993" s="15"/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  <c r="AA1993" s="15"/>
      <c r="AB1993" s="15"/>
      <c r="AC1993" s="15"/>
      <c r="AD1993" s="15"/>
      <c r="AE1993" s="15"/>
    </row>
    <row r="1994" ht="19.5" customHeight="1">
      <c r="A1994" s="15"/>
      <c r="B1994" s="15"/>
      <c r="C1994" s="15"/>
      <c r="D1994" s="15"/>
      <c r="E1994" s="15"/>
      <c r="F1994" s="15"/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  <c r="S1994" s="15"/>
      <c r="T1994" s="15"/>
      <c r="U1994" s="15"/>
      <c r="V1994" s="15"/>
      <c r="W1994" s="15"/>
      <c r="X1994" s="15"/>
      <c r="Y1994" s="15"/>
      <c r="Z1994" s="15"/>
      <c r="AA1994" s="15"/>
      <c r="AB1994" s="15"/>
      <c r="AC1994" s="15"/>
      <c r="AD1994" s="15"/>
      <c r="AE1994" s="15"/>
    </row>
    <row r="1995" ht="19.5" customHeight="1">
      <c r="A1995" s="15"/>
      <c r="B1995" s="15"/>
      <c r="C1995" s="15"/>
      <c r="D1995" s="15"/>
      <c r="E1995" s="15"/>
      <c r="F1995" s="15"/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5"/>
      <c r="AD1995" s="15"/>
      <c r="AE1995" s="15"/>
    </row>
    <row r="1996" ht="19.5" customHeight="1">
      <c r="A1996" s="15"/>
      <c r="B1996" s="15"/>
      <c r="C1996" s="15"/>
      <c r="D1996" s="15"/>
      <c r="E1996" s="15"/>
      <c r="F1996" s="15"/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  <c r="S1996" s="15"/>
      <c r="T1996" s="15"/>
      <c r="U1996" s="15"/>
      <c r="V1996" s="15"/>
      <c r="W1996" s="15"/>
      <c r="X1996" s="15"/>
      <c r="Y1996" s="15"/>
      <c r="Z1996" s="15"/>
      <c r="AA1996" s="15"/>
      <c r="AB1996" s="15"/>
      <c r="AC1996" s="15"/>
      <c r="AD1996" s="15"/>
      <c r="AE1996" s="15"/>
    </row>
    <row r="1997" ht="19.5" customHeight="1">
      <c r="A1997" s="15"/>
      <c r="B1997" s="15"/>
      <c r="C1997" s="15"/>
      <c r="D1997" s="15"/>
      <c r="E1997" s="15"/>
      <c r="F1997" s="15"/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  <c r="S1997" s="15"/>
      <c r="T1997" s="15"/>
      <c r="U1997" s="15"/>
      <c r="V1997" s="15"/>
      <c r="W1997" s="15"/>
      <c r="X1997" s="15"/>
      <c r="Y1997" s="15"/>
      <c r="Z1997" s="15"/>
      <c r="AA1997" s="15"/>
      <c r="AB1997" s="15"/>
      <c r="AC1997" s="15"/>
      <c r="AD1997" s="15"/>
      <c r="AE1997" s="15"/>
    </row>
    <row r="1998" ht="19.5" customHeight="1">
      <c r="A1998" s="15"/>
      <c r="B1998" s="15"/>
      <c r="C1998" s="15"/>
      <c r="D1998" s="15"/>
      <c r="E1998" s="15"/>
      <c r="F1998" s="15"/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  <c r="AA1998" s="15"/>
      <c r="AB1998" s="15"/>
      <c r="AC1998" s="15"/>
      <c r="AD1998" s="15"/>
      <c r="AE1998" s="15"/>
    </row>
    <row r="1999" ht="19.5" customHeight="1">
      <c r="A1999" s="15"/>
      <c r="B1999" s="15"/>
      <c r="C1999" s="15"/>
      <c r="D1999" s="15"/>
      <c r="E1999" s="15"/>
      <c r="F1999" s="15"/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  <c r="S1999" s="15"/>
      <c r="T1999" s="15"/>
      <c r="U1999" s="15"/>
      <c r="V1999" s="15"/>
      <c r="W1999" s="15"/>
      <c r="X1999" s="15"/>
      <c r="Y1999" s="15"/>
      <c r="Z1999" s="15"/>
      <c r="AA1999" s="15"/>
      <c r="AB1999" s="15"/>
      <c r="AC1999" s="15"/>
      <c r="AD1999" s="15"/>
      <c r="AE1999" s="15"/>
    </row>
    <row r="2000" ht="19.5" customHeight="1">
      <c r="A2000" s="15"/>
      <c r="B2000" s="15"/>
      <c r="C2000" s="15"/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  <c r="AA2000" s="15"/>
      <c r="AB2000" s="15"/>
      <c r="AC2000" s="15"/>
      <c r="AD2000" s="15"/>
      <c r="AE2000" s="15"/>
    </row>
    <row r="2001" ht="19.5" customHeight="1">
      <c r="A2001" s="15"/>
      <c r="B2001" s="15"/>
      <c r="C2001" s="15"/>
      <c r="D2001" s="15"/>
      <c r="E2001" s="15"/>
      <c r="F2001" s="15"/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  <c r="AA2001" s="15"/>
      <c r="AB2001" s="15"/>
      <c r="AC2001" s="15"/>
      <c r="AD2001" s="15"/>
      <c r="AE2001" s="15"/>
    </row>
    <row r="2002" ht="19.5" customHeight="1">
      <c r="A2002" s="15"/>
      <c r="B2002" s="15"/>
      <c r="C2002" s="15"/>
      <c r="D2002" s="15"/>
      <c r="E2002" s="15"/>
      <c r="F2002" s="15"/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  <c r="S2002" s="15"/>
      <c r="T2002" s="15"/>
      <c r="U2002" s="15"/>
      <c r="V2002" s="15"/>
      <c r="W2002" s="15"/>
      <c r="X2002" s="15"/>
      <c r="Y2002" s="15"/>
      <c r="Z2002" s="15"/>
      <c r="AA2002" s="15"/>
      <c r="AB2002" s="15"/>
      <c r="AC2002" s="15"/>
      <c r="AD2002" s="15"/>
      <c r="AE2002" s="15"/>
    </row>
    <row r="2003" ht="19.5" customHeight="1">
      <c r="A2003" s="15"/>
      <c r="B2003" s="15"/>
      <c r="C2003" s="15"/>
      <c r="D2003" s="15"/>
      <c r="E2003" s="15"/>
      <c r="F2003" s="15"/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  <c r="S2003" s="15"/>
      <c r="T2003" s="15"/>
      <c r="U2003" s="15"/>
      <c r="V2003" s="15"/>
      <c r="W2003" s="15"/>
      <c r="X2003" s="15"/>
      <c r="Y2003" s="15"/>
      <c r="Z2003" s="15"/>
      <c r="AA2003" s="15"/>
      <c r="AB2003" s="15"/>
      <c r="AC2003" s="15"/>
      <c r="AD2003" s="15"/>
      <c r="AE2003" s="15"/>
    </row>
    <row r="2004" ht="19.5" customHeight="1">
      <c r="A2004" s="15"/>
      <c r="B2004" s="15"/>
      <c r="C2004" s="15"/>
      <c r="D2004" s="15"/>
      <c r="E2004" s="15"/>
      <c r="F2004" s="15"/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  <c r="S2004" s="15"/>
      <c r="T2004" s="15"/>
      <c r="U2004" s="15"/>
      <c r="V2004" s="15"/>
      <c r="W2004" s="15"/>
      <c r="X2004" s="15"/>
      <c r="Y2004" s="15"/>
      <c r="Z2004" s="15"/>
      <c r="AA2004" s="15"/>
      <c r="AB2004" s="15"/>
      <c r="AC2004" s="15"/>
      <c r="AD2004" s="15"/>
      <c r="AE2004" s="15"/>
    </row>
    <row r="2005" ht="19.5" customHeight="1">
      <c r="A2005" s="15"/>
      <c r="B2005" s="15"/>
      <c r="C2005" s="15"/>
      <c r="D2005" s="15"/>
      <c r="E2005" s="15"/>
      <c r="F2005" s="15"/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  <c r="S2005" s="15"/>
      <c r="T2005" s="15"/>
      <c r="U2005" s="15"/>
      <c r="V2005" s="15"/>
      <c r="W2005" s="15"/>
      <c r="X2005" s="15"/>
      <c r="Y2005" s="15"/>
      <c r="Z2005" s="15"/>
      <c r="AA2005" s="15"/>
      <c r="AB2005" s="15"/>
      <c r="AC2005" s="15"/>
      <c r="AD2005" s="15"/>
      <c r="AE2005" s="15"/>
    </row>
    <row r="2006" ht="19.5" customHeight="1">
      <c r="A2006" s="15"/>
      <c r="B2006" s="15"/>
      <c r="C2006" s="15"/>
      <c r="D2006" s="15"/>
      <c r="E2006" s="15"/>
      <c r="F2006" s="15"/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  <c r="S2006" s="15"/>
      <c r="T2006" s="15"/>
      <c r="U2006" s="15"/>
      <c r="V2006" s="15"/>
      <c r="W2006" s="15"/>
      <c r="X2006" s="15"/>
      <c r="Y2006" s="15"/>
      <c r="Z2006" s="15"/>
      <c r="AA2006" s="15"/>
      <c r="AB2006" s="15"/>
      <c r="AC2006" s="15"/>
      <c r="AD2006" s="15"/>
      <c r="AE2006" s="15"/>
    </row>
    <row r="2007" ht="19.5" customHeight="1">
      <c r="A2007" s="15"/>
      <c r="B2007" s="15"/>
      <c r="C2007" s="15"/>
      <c r="D2007" s="15"/>
      <c r="E2007" s="15"/>
      <c r="F2007" s="15"/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  <c r="AA2007" s="15"/>
      <c r="AB2007" s="15"/>
      <c r="AC2007" s="15"/>
      <c r="AD2007" s="15"/>
      <c r="AE2007" s="15"/>
    </row>
    <row r="2008" ht="19.5" customHeight="1">
      <c r="A2008" s="15"/>
      <c r="B2008" s="15"/>
      <c r="C2008" s="15"/>
      <c r="D2008" s="15"/>
      <c r="E2008" s="15"/>
      <c r="F2008" s="15"/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  <c r="AA2008" s="15"/>
      <c r="AB2008" s="15"/>
      <c r="AC2008" s="15"/>
      <c r="AD2008" s="15"/>
      <c r="AE2008" s="15"/>
    </row>
    <row r="2009" ht="19.5" customHeight="1">
      <c r="A2009" s="15"/>
      <c r="B2009" s="15"/>
      <c r="C2009" s="15"/>
      <c r="D2009" s="15"/>
      <c r="E2009" s="15"/>
      <c r="F2009" s="15"/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  <c r="AA2009" s="15"/>
      <c r="AB2009" s="15"/>
      <c r="AC2009" s="15"/>
      <c r="AD2009" s="15"/>
      <c r="AE2009" s="15"/>
    </row>
    <row r="2010" ht="19.5" customHeight="1">
      <c r="A2010" s="15"/>
      <c r="B2010" s="15"/>
      <c r="C2010" s="15"/>
      <c r="D2010" s="15"/>
      <c r="E2010" s="15"/>
      <c r="F2010" s="15"/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  <c r="AA2010" s="15"/>
      <c r="AB2010" s="15"/>
      <c r="AC2010" s="15"/>
      <c r="AD2010" s="15"/>
      <c r="AE2010" s="15"/>
    </row>
    <row r="2011" ht="19.5" customHeight="1">
      <c r="A2011" s="15"/>
      <c r="B2011" s="15"/>
      <c r="C2011" s="15"/>
      <c r="D2011" s="15"/>
      <c r="E2011" s="15"/>
      <c r="F2011" s="15"/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  <c r="AA2011" s="15"/>
      <c r="AB2011" s="15"/>
      <c r="AC2011" s="15"/>
      <c r="AD2011" s="15"/>
      <c r="AE2011" s="15"/>
    </row>
    <row r="2012" ht="19.5" customHeight="1">
      <c r="A2012" s="15"/>
      <c r="B2012" s="15"/>
      <c r="C2012" s="15"/>
      <c r="D2012" s="15"/>
      <c r="E2012" s="15"/>
      <c r="F2012" s="15"/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  <c r="AA2012" s="15"/>
      <c r="AB2012" s="15"/>
      <c r="AC2012" s="15"/>
      <c r="AD2012" s="15"/>
      <c r="AE2012" s="15"/>
    </row>
    <row r="2013" ht="19.5" customHeight="1">
      <c r="A2013" s="15"/>
      <c r="B2013" s="15"/>
      <c r="C2013" s="15"/>
      <c r="D2013" s="15"/>
      <c r="E2013" s="15"/>
      <c r="F2013" s="15"/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  <c r="S2013" s="15"/>
      <c r="T2013" s="15"/>
      <c r="U2013" s="15"/>
      <c r="V2013" s="15"/>
      <c r="W2013" s="15"/>
      <c r="X2013" s="15"/>
      <c r="Y2013" s="15"/>
      <c r="Z2013" s="15"/>
      <c r="AA2013" s="15"/>
      <c r="AB2013" s="15"/>
      <c r="AC2013" s="15"/>
      <c r="AD2013" s="15"/>
      <c r="AE2013" s="15"/>
    </row>
    <row r="2014" ht="19.5" customHeight="1">
      <c r="A2014" s="15"/>
      <c r="B2014" s="15"/>
      <c r="C2014" s="15"/>
      <c r="D2014" s="15"/>
      <c r="E2014" s="15"/>
      <c r="F2014" s="15"/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  <c r="S2014" s="15"/>
      <c r="T2014" s="15"/>
      <c r="U2014" s="15"/>
      <c r="V2014" s="15"/>
      <c r="W2014" s="15"/>
      <c r="X2014" s="15"/>
      <c r="Y2014" s="15"/>
      <c r="Z2014" s="15"/>
      <c r="AA2014" s="15"/>
      <c r="AB2014" s="15"/>
      <c r="AC2014" s="15"/>
      <c r="AD2014" s="15"/>
      <c r="AE2014" s="15"/>
    </row>
    <row r="2015" ht="19.5" customHeight="1">
      <c r="A2015" s="15"/>
      <c r="B2015" s="15"/>
      <c r="C2015" s="15"/>
      <c r="D2015" s="15"/>
      <c r="E2015" s="15"/>
      <c r="F2015" s="15"/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  <c r="AA2015" s="15"/>
      <c r="AB2015" s="15"/>
      <c r="AC2015" s="15"/>
      <c r="AD2015" s="15"/>
      <c r="AE2015" s="15"/>
    </row>
    <row r="2016" ht="19.5" customHeight="1">
      <c r="A2016" s="15"/>
      <c r="B2016" s="15"/>
      <c r="C2016" s="15"/>
      <c r="D2016" s="15"/>
      <c r="E2016" s="15"/>
      <c r="F2016" s="15"/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  <c r="S2016" s="15"/>
      <c r="T2016" s="15"/>
      <c r="U2016" s="15"/>
      <c r="V2016" s="15"/>
      <c r="W2016" s="15"/>
      <c r="X2016" s="15"/>
      <c r="Y2016" s="15"/>
      <c r="Z2016" s="15"/>
      <c r="AA2016" s="15"/>
      <c r="AB2016" s="15"/>
      <c r="AC2016" s="15"/>
      <c r="AD2016" s="15"/>
      <c r="AE2016" s="15"/>
    </row>
    <row r="2017" ht="19.5" customHeight="1">
      <c r="A2017" s="15"/>
      <c r="B2017" s="15"/>
      <c r="C2017" s="15"/>
      <c r="D2017" s="15"/>
      <c r="E2017" s="15"/>
      <c r="F2017" s="15"/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  <c r="AA2017" s="15"/>
      <c r="AB2017" s="15"/>
      <c r="AC2017" s="15"/>
      <c r="AD2017" s="15"/>
      <c r="AE2017" s="15"/>
    </row>
    <row r="2018" ht="19.5" customHeight="1">
      <c r="A2018" s="15"/>
      <c r="B2018" s="15"/>
      <c r="C2018" s="15"/>
      <c r="D2018" s="15"/>
      <c r="E2018" s="15"/>
      <c r="F2018" s="15"/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  <c r="AA2018" s="15"/>
      <c r="AB2018" s="15"/>
      <c r="AC2018" s="15"/>
      <c r="AD2018" s="15"/>
      <c r="AE2018" s="15"/>
    </row>
    <row r="2019" ht="19.5" customHeight="1">
      <c r="A2019" s="15"/>
      <c r="B2019" s="15"/>
      <c r="C2019" s="15"/>
      <c r="D2019" s="15"/>
      <c r="E2019" s="15"/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  <c r="AA2019" s="15"/>
      <c r="AB2019" s="15"/>
      <c r="AC2019" s="15"/>
      <c r="AD2019" s="15"/>
      <c r="AE2019" s="15"/>
    </row>
    <row r="2020" ht="19.5" customHeight="1">
      <c r="A2020" s="15"/>
      <c r="B2020" s="15"/>
      <c r="C2020" s="15"/>
      <c r="D2020" s="15"/>
      <c r="E2020" s="15"/>
      <c r="F2020" s="15"/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  <c r="AA2020" s="15"/>
      <c r="AB2020" s="15"/>
      <c r="AC2020" s="15"/>
      <c r="AD2020" s="15"/>
      <c r="AE2020" s="15"/>
    </row>
    <row r="2021" ht="19.5" customHeight="1">
      <c r="A2021" s="15"/>
      <c r="B2021" s="15"/>
      <c r="C2021" s="15"/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5"/>
      <c r="V2021" s="15"/>
      <c r="W2021" s="15"/>
      <c r="X2021" s="15"/>
      <c r="Y2021" s="15"/>
      <c r="Z2021" s="15"/>
      <c r="AA2021" s="15"/>
      <c r="AB2021" s="15"/>
      <c r="AC2021" s="15"/>
      <c r="AD2021" s="15"/>
      <c r="AE2021" s="15"/>
    </row>
    <row r="2022" ht="19.5" customHeight="1">
      <c r="A2022" s="15"/>
      <c r="B2022" s="15"/>
      <c r="C2022" s="15"/>
      <c r="D2022" s="15"/>
      <c r="E2022" s="15"/>
      <c r="F2022" s="15"/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  <c r="S2022" s="15"/>
      <c r="T2022" s="15"/>
      <c r="U2022" s="15"/>
      <c r="V2022" s="15"/>
      <c r="W2022" s="15"/>
      <c r="X2022" s="15"/>
      <c r="Y2022" s="15"/>
      <c r="Z2022" s="15"/>
      <c r="AA2022" s="15"/>
      <c r="AB2022" s="15"/>
      <c r="AC2022" s="15"/>
      <c r="AD2022" s="15"/>
      <c r="AE2022" s="15"/>
    </row>
    <row r="2023" ht="19.5" customHeight="1">
      <c r="A2023" s="15"/>
      <c r="B2023" s="15"/>
      <c r="C2023" s="15"/>
      <c r="D2023" s="15"/>
      <c r="E2023" s="15"/>
      <c r="F2023" s="15"/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  <c r="S2023" s="15"/>
      <c r="T2023" s="15"/>
      <c r="U2023" s="15"/>
      <c r="V2023" s="15"/>
      <c r="W2023" s="15"/>
      <c r="X2023" s="15"/>
      <c r="Y2023" s="15"/>
      <c r="Z2023" s="15"/>
      <c r="AA2023" s="15"/>
      <c r="AB2023" s="15"/>
      <c r="AC2023" s="15"/>
      <c r="AD2023" s="15"/>
      <c r="AE2023" s="15"/>
    </row>
    <row r="2024" ht="19.5" customHeight="1">
      <c r="A2024" s="15"/>
      <c r="B2024" s="15"/>
      <c r="C2024" s="15"/>
      <c r="D2024" s="15"/>
      <c r="E2024" s="15"/>
      <c r="F2024" s="15"/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  <c r="AA2024" s="15"/>
      <c r="AB2024" s="15"/>
      <c r="AC2024" s="15"/>
      <c r="AD2024" s="15"/>
      <c r="AE2024" s="15"/>
    </row>
    <row r="2025" ht="19.5" customHeight="1">
      <c r="A2025" s="15"/>
      <c r="B2025" s="15"/>
      <c r="C2025" s="15"/>
      <c r="D2025" s="15"/>
      <c r="E2025" s="15"/>
      <c r="F2025" s="15"/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  <c r="S2025" s="15"/>
      <c r="T2025" s="15"/>
      <c r="U2025" s="15"/>
      <c r="V2025" s="15"/>
      <c r="W2025" s="15"/>
      <c r="X2025" s="15"/>
      <c r="Y2025" s="15"/>
      <c r="Z2025" s="15"/>
      <c r="AA2025" s="15"/>
      <c r="AB2025" s="15"/>
      <c r="AC2025" s="15"/>
      <c r="AD2025" s="15"/>
      <c r="AE2025" s="15"/>
    </row>
    <row r="2026" ht="19.5" customHeight="1">
      <c r="A2026" s="15"/>
      <c r="B2026" s="15"/>
      <c r="C2026" s="15"/>
      <c r="D2026" s="15"/>
      <c r="E2026" s="15"/>
      <c r="F2026" s="15"/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  <c r="AA2026" s="15"/>
      <c r="AB2026" s="15"/>
      <c r="AC2026" s="15"/>
      <c r="AD2026" s="15"/>
      <c r="AE2026" s="15"/>
    </row>
    <row r="2027" ht="19.5" customHeight="1">
      <c r="A2027" s="15"/>
      <c r="B2027" s="15"/>
      <c r="C2027" s="15"/>
      <c r="D2027" s="15"/>
      <c r="E2027" s="15"/>
      <c r="F2027" s="15"/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  <c r="S2027" s="15"/>
      <c r="T2027" s="15"/>
      <c r="U2027" s="15"/>
      <c r="V2027" s="15"/>
      <c r="W2027" s="15"/>
      <c r="X2027" s="15"/>
      <c r="Y2027" s="15"/>
      <c r="Z2027" s="15"/>
      <c r="AA2027" s="15"/>
      <c r="AB2027" s="15"/>
      <c r="AC2027" s="15"/>
      <c r="AD2027" s="15"/>
      <c r="AE2027" s="15"/>
    </row>
    <row r="2028" ht="19.5" customHeight="1">
      <c r="A2028" s="15"/>
      <c r="B2028" s="15"/>
      <c r="C2028" s="15"/>
      <c r="D2028" s="15"/>
      <c r="E2028" s="15"/>
      <c r="F2028" s="15"/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  <c r="AA2028" s="15"/>
      <c r="AB2028" s="15"/>
      <c r="AC2028" s="15"/>
      <c r="AD2028" s="15"/>
      <c r="AE2028" s="15"/>
    </row>
    <row r="2029" ht="19.5" customHeight="1">
      <c r="A2029" s="15"/>
      <c r="B2029" s="15"/>
      <c r="C2029" s="15"/>
      <c r="D2029" s="15"/>
      <c r="E2029" s="15"/>
      <c r="F2029" s="15"/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  <c r="AA2029" s="15"/>
      <c r="AB2029" s="15"/>
      <c r="AC2029" s="15"/>
      <c r="AD2029" s="15"/>
      <c r="AE2029" s="15"/>
    </row>
    <row r="2030" ht="19.5" customHeight="1">
      <c r="A2030" s="15"/>
      <c r="B2030" s="15"/>
      <c r="C2030" s="15"/>
      <c r="D2030" s="15"/>
      <c r="E2030" s="15"/>
      <c r="F2030" s="15"/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  <c r="S2030" s="15"/>
      <c r="T2030" s="15"/>
      <c r="U2030" s="15"/>
      <c r="V2030" s="15"/>
      <c r="W2030" s="15"/>
      <c r="X2030" s="15"/>
      <c r="Y2030" s="15"/>
      <c r="Z2030" s="15"/>
      <c r="AA2030" s="15"/>
      <c r="AB2030" s="15"/>
      <c r="AC2030" s="15"/>
      <c r="AD2030" s="15"/>
      <c r="AE2030" s="15"/>
    </row>
    <row r="2031" ht="19.5" customHeight="1">
      <c r="A2031" s="15"/>
      <c r="B2031" s="15"/>
      <c r="C2031" s="15"/>
      <c r="D2031" s="15"/>
      <c r="E2031" s="15"/>
      <c r="F2031" s="15"/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  <c r="S2031" s="15"/>
      <c r="T2031" s="15"/>
      <c r="U2031" s="15"/>
      <c r="V2031" s="15"/>
      <c r="W2031" s="15"/>
      <c r="X2031" s="15"/>
      <c r="Y2031" s="15"/>
      <c r="Z2031" s="15"/>
      <c r="AA2031" s="15"/>
      <c r="AB2031" s="15"/>
      <c r="AC2031" s="15"/>
      <c r="AD2031" s="15"/>
      <c r="AE2031" s="15"/>
    </row>
    <row r="2032" ht="19.5" customHeight="1">
      <c r="A2032" s="15"/>
      <c r="B2032" s="15"/>
      <c r="C2032" s="15"/>
      <c r="D2032" s="15"/>
      <c r="E2032" s="15"/>
      <c r="F2032" s="15"/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  <c r="S2032" s="15"/>
      <c r="T2032" s="15"/>
      <c r="U2032" s="15"/>
      <c r="V2032" s="15"/>
      <c r="W2032" s="15"/>
      <c r="X2032" s="15"/>
      <c r="Y2032" s="15"/>
      <c r="Z2032" s="15"/>
      <c r="AA2032" s="15"/>
      <c r="AB2032" s="15"/>
      <c r="AC2032" s="15"/>
      <c r="AD2032" s="15"/>
      <c r="AE2032" s="15"/>
    </row>
    <row r="2033" ht="19.5" customHeight="1">
      <c r="A2033" s="15"/>
      <c r="B2033" s="15"/>
      <c r="C2033" s="15"/>
      <c r="D2033" s="15"/>
      <c r="E2033" s="15"/>
      <c r="F2033" s="15"/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  <c r="AA2033" s="15"/>
      <c r="AB2033" s="15"/>
      <c r="AC2033" s="15"/>
      <c r="AD2033" s="15"/>
      <c r="AE2033" s="15"/>
    </row>
    <row r="2034" ht="19.5" customHeight="1">
      <c r="A2034" s="15"/>
      <c r="B2034" s="15"/>
      <c r="C2034" s="15"/>
      <c r="D2034" s="15"/>
      <c r="E2034" s="15"/>
      <c r="F2034" s="15"/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  <c r="AA2034" s="15"/>
      <c r="AB2034" s="15"/>
      <c r="AC2034" s="15"/>
      <c r="AD2034" s="15"/>
      <c r="AE2034" s="15"/>
    </row>
    <row r="2035" ht="19.5" customHeight="1">
      <c r="A2035" s="15"/>
      <c r="B2035" s="15"/>
      <c r="C2035" s="15"/>
      <c r="D2035" s="15"/>
      <c r="E2035" s="15"/>
      <c r="F2035" s="15"/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  <c r="AA2035" s="15"/>
      <c r="AB2035" s="15"/>
      <c r="AC2035" s="15"/>
      <c r="AD2035" s="15"/>
      <c r="AE2035" s="15"/>
    </row>
    <row r="2036" ht="19.5" customHeight="1">
      <c r="A2036" s="15"/>
      <c r="B2036" s="15"/>
      <c r="C2036" s="15"/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  <c r="S2036" s="15"/>
      <c r="T2036" s="15"/>
      <c r="U2036" s="15"/>
      <c r="V2036" s="15"/>
      <c r="W2036" s="15"/>
      <c r="X2036" s="15"/>
      <c r="Y2036" s="15"/>
      <c r="Z2036" s="15"/>
      <c r="AA2036" s="15"/>
      <c r="AB2036" s="15"/>
      <c r="AC2036" s="15"/>
      <c r="AD2036" s="15"/>
      <c r="AE2036" s="15"/>
    </row>
    <row r="2037" ht="19.5" customHeight="1">
      <c r="A2037" s="15"/>
      <c r="B2037" s="15"/>
      <c r="C2037" s="15"/>
      <c r="D2037" s="15"/>
      <c r="E2037" s="15"/>
      <c r="F2037" s="15"/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  <c r="S2037" s="15"/>
      <c r="T2037" s="15"/>
      <c r="U2037" s="15"/>
      <c r="V2037" s="15"/>
      <c r="W2037" s="15"/>
      <c r="X2037" s="15"/>
      <c r="Y2037" s="15"/>
      <c r="Z2037" s="15"/>
      <c r="AA2037" s="15"/>
      <c r="AB2037" s="15"/>
      <c r="AC2037" s="15"/>
      <c r="AD2037" s="15"/>
      <c r="AE2037" s="15"/>
    </row>
    <row r="2038" ht="19.5" customHeight="1">
      <c r="A2038" s="15"/>
      <c r="B2038" s="15"/>
      <c r="C2038" s="15"/>
      <c r="D2038" s="15"/>
      <c r="E2038" s="15"/>
      <c r="F2038" s="15"/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5"/>
      <c r="AD2038" s="15"/>
      <c r="AE2038" s="15"/>
    </row>
    <row r="2039" ht="19.5" customHeight="1">
      <c r="A2039" s="15"/>
      <c r="B2039" s="15"/>
      <c r="C2039" s="15"/>
      <c r="D2039" s="15"/>
      <c r="E2039" s="15"/>
      <c r="F2039" s="15"/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  <c r="S2039" s="15"/>
      <c r="T2039" s="15"/>
      <c r="U2039" s="15"/>
      <c r="V2039" s="15"/>
      <c r="W2039" s="15"/>
      <c r="X2039" s="15"/>
      <c r="Y2039" s="15"/>
      <c r="Z2039" s="15"/>
      <c r="AA2039" s="15"/>
      <c r="AB2039" s="15"/>
      <c r="AC2039" s="15"/>
      <c r="AD2039" s="15"/>
      <c r="AE2039" s="15"/>
    </row>
    <row r="2040" ht="19.5" customHeight="1">
      <c r="A2040" s="15"/>
      <c r="B2040" s="15"/>
      <c r="C2040" s="15"/>
      <c r="D2040" s="15"/>
      <c r="E2040" s="15"/>
      <c r="F2040" s="15"/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  <c r="AA2040" s="15"/>
      <c r="AB2040" s="15"/>
      <c r="AC2040" s="15"/>
      <c r="AD2040" s="15"/>
      <c r="AE2040" s="15"/>
    </row>
    <row r="2041" ht="19.5" customHeight="1">
      <c r="A2041" s="15"/>
      <c r="B2041" s="15"/>
      <c r="C2041" s="15"/>
      <c r="D2041" s="15"/>
      <c r="E2041" s="15"/>
      <c r="F2041" s="15"/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  <c r="S2041" s="15"/>
      <c r="T2041" s="15"/>
      <c r="U2041" s="15"/>
      <c r="V2041" s="15"/>
      <c r="W2041" s="15"/>
      <c r="X2041" s="15"/>
      <c r="Y2041" s="15"/>
      <c r="Z2041" s="15"/>
      <c r="AA2041" s="15"/>
      <c r="AB2041" s="15"/>
      <c r="AC2041" s="15"/>
      <c r="AD2041" s="15"/>
      <c r="AE2041" s="15"/>
    </row>
    <row r="2042" ht="19.5" customHeight="1">
      <c r="A2042" s="15"/>
      <c r="B2042" s="15"/>
      <c r="C2042" s="15"/>
      <c r="D2042" s="15"/>
      <c r="E2042" s="15"/>
      <c r="F2042" s="15"/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  <c r="S2042" s="15"/>
      <c r="T2042" s="15"/>
      <c r="U2042" s="15"/>
      <c r="V2042" s="15"/>
      <c r="W2042" s="15"/>
      <c r="X2042" s="15"/>
      <c r="Y2042" s="15"/>
      <c r="Z2042" s="15"/>
      <c r="AA2042" s="15"/>
      <c r="AB2042" s="15"/>
      <c r="AC2042" s="15"/>
      <c r="AD2042" s="15"/>
      <c r="AE2042" s="15"/>
    </row>
    <row r="2043" ht="19.5" customHeight="1">
      <c r="A2043" s="15"/>
      <c r="B2043" s="15"/>
      <c r="C2043" s="15"/>
      <c r="D2043" s="15"/>
      <c r="E2043" s="15"/>
      <c r="F2043" s="15"/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  <c r="S2043" s="15"/>
      <c r="T2043" s="15"/>
      <c r="U2043" s="15"/>
      <c r="V2043" s="15"/>
      <c r="W2043" s="15"/>
      <c r="X2043" s="15"/>
      <c r="Y2043" s="15"/>
      <c r="Z2043" s="15"/>
      <c r="AA2043" s="15"/>
      <c r="AB2043" s="15"/>
      <c r="AC2043" s="15"/>
      <c r="AD2043" s="15"/>
      <c r="AE2043" s="15"/>
    </row>
    <row r="2044" ht="19.5" customHeight="1">
      <c r="A2044" s="15"/>
      <c r="B2044" s="15"/>
      <c r="C2044" s="15"/>
      <c r="D2044" s="15"/>
      <c r="E2044" s="15"/>
      <c r="F2044" s="15"/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  <c r="S2044" s="15"/>
      <c r="T2044" s="15"/>
      <c r="U2044" s="15"/>
      <c r="V2044" s="15"/>
      <c r="W2044" s="15"/>
      <c r="X2044" s="15"/>
      <c r="Y2044" s="15"/>
      <c r="Z2044" s="15"/>
      <c r="AA2044" s="15"/>
      <c r="AB2044" s="15"/>
      <c r="AC2044" s="15"/>
      <c r="AD2044" s="15"/>
      <c r="AE2044" s="15"/>
    </row>
    <row r="2045" ht="19.5" customHeight="1">
      <c r="A2045" s="15"/>
      <c r="B2045" s="15"/>
      <c r="C2045" s="15"/>
      <c r="D2045" s="15"/>
      <c r="E2045" s="15"/>
      <c r="F2045" s="15"/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  <c r="S2045" s="15"/>
      <c r="T2045" s="15"/>
      <c r="U2045" s="15"/>
      <c r="V2045" s="15"/>
      <c r="W2045" s="15"/>
      <c r="X2045" s="15"/>
      <c r="Y2045" s="15"/>
      <c r="Z2045" s="15"/>
      <c r="AA2045" s="15"/>
      <c r="AB2045" s="15"/>
      <c r="AC2045" s="15"/>
      <c r="AD2045" s="15"/>
      <c r="AE2045" s="15"/>
    </row>
    <row r="2046" ht="19.5" customHeight="1">
      <c r="A2046" s="15"/>
      <c r="B2046" s="15"/>
      <c r="C2046" s="15"/>
      <c r="D2046" s="15"/>
      <c r="E2046" s="15"/>
      <c r="F2046" s="15"/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  <c r="AA2046" s="15"/>
      <c r="AB2046" s="15"/>
      <c r="AC2046" s="15"/>
      <c r="AD2046" s="15"/>
      <c r="AE2046" s="15"/>
    </row>
    <row r="2047" ht="19.5" customHeight="1">
      <c r="A2047" s="15"/>
      <c r="B2047" s="15"/>
      <c r="C2047" s="15"/>
      <c r="D2047" s="15"/>
      <c r="E2047" s="15"/>
      <c r="F2047" s="15"/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  <c r="S2047" s="15"/>
      <c r="T2047" s="15"/>
      <c r="U2047" s="15"/>
      <c r="V2047" s="15"/>
      <c r="W2047" s="15"/>
      <c r="X2047" s="15"/>
      <c r="Y2047" s="15"/>
      <c r="Z2047" s="15"/>
      <c r="AA2047" s="15"/>
      <c r="AB2047" s="15"/>
      <c r="AC2047" s="15"/>
      <c r="AD2047" s="15"/>
      <c r="AE2047" s="15"/>
    </row>
    <row r="2048" ht="19.5" customHeight="1">
      <c r="A2048" s="15"/>
      <c r="B2048" s="15"/>
      <c r="C2048" s="15"/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  <c r="AA2048" s="15"/>
      <c r="AB2048" s="15"/>
      <c r="AC2048" s="15"/>
      <c r="AD2048" s="15"/>
      <c r="AE2048" s="15"/>
    </row>
    <row r="2049" ht="19.5" customHeight="1">
      <c r="A2049" s="15"/>
      <c r="B2049" s="15"/>
      <c r="C2049" s="15"/>
      <c r="D2049" s="15"/>
      <c r="E2049" s="15"/>
      <c r="F2049" s="15"/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  <c r="AA2049" s="15"/>
      <c r="AB2049" s="15"/>
      <c r="AC2049" s="15"/>
      <c r="AD2049" s="15"/>
      <c r="AE2049" s="15"/>
    </row>
    <row r="2050" ht="19.5" customHeight="1">
      <c r="A2050" s="15"/>
      <c r="B2050" s="15"/>
      <c r="C2050" s="15"/>
      <c r="D2050" s="15"/>
      <c r="E2050" s="15"/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5"/>
      <c r="W2050" s="15"/>
      <c r="X2050" s="15"/>
      <c r="Y2050" s="15"/>
      <c r="Z2050" s="15"/>
      <c r="AA2050" s="15"/>
      <c r="AB2050" s="15"/>
      <c r="AC2050" s="15"/>
      <c r="AD2050" s="15"/>
      <c r="AE2050" s="15"/>
    </row>
    <row r="2051" ht="19.5" customHeight="1">
      <c r="A2051" s="15"/>
      <c r="B2051" s="15"/>
      <c r="C2051" s="15"/>
      <c r="D2051" s="15"/>
      <c r="E2051" s="15"/>
      <c r="F2051" s="15"/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  <c r="S2051" s="15"/>
      <c r="T2051" s="15"/>
      <c r="U2051" s="15"/>
      <c r="V2051" s="15"/>
      <c r="W2051" s="15"/>
      <c r="X2051" s="15"/>
      <c r="Y2051" s="15"/>
      <c r="Z2051" s="15"/>
      <c r="AA2051" s="15"/>
      <c r="AB2051" s="15"/>
      <c r="AC2051" s="15"/>
      <c r="AD2051" s="15"/>
      <c r="AE2051" s="15"/>
    </row>
    <row r="2052" ht="19.5" customHeight="1">
      <c r="A2052" s="15"/>
      <c r="B2052" s="15"/>
      <c r="C2052" s="15"/>
      <c r="D2052" s="15"/>
      <c r="E2052" s="15"/>
      <c r="F2052" s="15"/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  <c r="S2052" s="15"/>
      <c r="T2052" s="15"/>
      <c r="U2052" s="15"/>
      <c r="V2052" s="15"/>
      <c r="W2052" s="15"/>
      <c r="X2052" s="15"/>
      <c r="Y2052" s="15"/>
      <c r="Z2052" s="15"/>
      <c r="AA2052" s="15"/>
      <c r="AB2052" s="15"/>
      <c r="AC2052" s="15"/>
      <c r="AD2052" s="15"/>
      <c r="AE2052" s="15"/>
    </row>
    <row r="2053" ht="19.5" customHeight="1">
      <c r="A2053" s="15"/>
      <c r="B2053" s="15"/>
      <c r="C2053" s="15"/>
      <c r="D2053" s="15"/>
      <c r="E2053" s="15"/>
      <c r="F2053" s="15"/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  <c r="S2053" s="15"/>
      <c r="T2053" s="15"/>
      <c r="U2053" s="15"/>
      <c r="V2053" s="15"/>
      <c r="W2053" s="15"/>
      <c r="X2053" s="15"/>
      <c r="Y2053" s="15"/>
      <c r="Z2053" s="15"/>
      <c r="AA2053" s="15"/>
      <c r="AB2053" s="15"/>
      <c r="AC2053" s="15"/>
      <c r="AD2053" s="15"/>
      <c r="AE2053" s="15"/>
    </row>
    <row r="2054" ht="19.5" customHeight="1">
      <c r="A2054" s="15"/>
      <c r="B2054" s="15"/>
      <c r="C2054" s="15"/>
      <c r="D2054" s="15"/>
      <c r="E2054" s="15"/>
      <c r="F2054" s="15"/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  <c r="S2054" s="15"/>
      <c r="T2054" s="15"/>
      <c r="U2054" s="15"/>
      <c r="V2054" s="15"/>
      <c r="W2054" s="15"/>
      <c r="X2054" s="15"/>
      <c r="Y2054" s="15"/>
      <c r="Z2054" s="15"/>
      <c r="AA2054" s="15"/>
      <c r="AB2054" s="15"/>
      <c r="AC2054" s="15"/>
      <c r="AD2054" s="15"/>
      <c r="AE2054" s="15"/>
    </row>
    <row r="2055" ht="19.5" customHeight="1">
      <c r="A2055" s="15"/>
      <c r="B2055" s="15"/>
      <c r="C2055" s="15"/>
      <c r="D2055" s="15"/>
      <c r="E2055" s="15"/>
      <c r="F2055" s="15"/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  <c r="S2055" s="15"/>
      <c r="T2055" s="15"/>
      <c r="U2055" s="15"/>
      <c r="V2055" s="15"/>
      <c r="W2055" s="15"/>
      <c r="X2055" s="15"/>
      <c r="Y2055" s="15"/>
      <c r="Z2055" s="15"/>
      <c r="AA2055" s="15"/>
      <c r="AB2055" s="15"/>
      <c r="AC2055" s="15"/>
      <c r="AD2055" s="15"/>
      <c r="AE2055" s="15"/>
    </row>
  </sheetData>
  <mergeCells count="2">
    <mergeCell ref="H1:I1"/>
    <mergeCell ref="J1:K1"/>
  </mergeCells>
  <printOptions/>
  <pageMargins bottom="1.0" footer="0.0" header="0.0" left="0.75" right="0.75" top="1.0"/>
  <pageSetup orientation="landscape"/>
  <drawing r:id="rId2"/>
</worksheet>
</file>