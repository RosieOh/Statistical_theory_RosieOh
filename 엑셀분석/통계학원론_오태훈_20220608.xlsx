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2" sheetId="2" r:id="rId5"/>
  </sheets>
  <definedNames/>
  <calcPr/>
</workbook>
</file>

<file path=xl/sharedStrings.xml><?xml version="1.0" encoding="utf-8"?>
<sst xmlns="http://schemas.openxmlformats.org/spreadsheetml/2006/main" count="65" uniqueCount="61">
  <si>
    <t>Frequency</t>
  </si>
  <si>
    <t>평균</t>
  </si>
  <si>
    <t>표준편차</t>
  </si>
  <si>
    <t>F 통계량</t>
  </si>
  <si>
    <t>0 (a)</t>
  </si>
  <si>
    <t>1 (ab)</t>
  </si>
  <si>
    <t>2 (b)</t>
  </si>
  <si>
    <t>B_type</t>
  </si>
  <si>
    <t>1 (a)</t>
  </si>
  <si>
    <t xml:space="preserve"> 2(ab)</t>
  </si>
  <si>
    <t>3(b)</t>
  </si>
  <si>
    <t>성별</t>
  </si>
  <si>
    <t>절편</t>
  </si>
  <si>
    <t>기울기(매출액)</t>
  </si>
  <si>
    <t>Dep. Variable:</t>
  </si>
  <si>
    <t>y</t>
  </si>
  <si>
    <t>R-squared:</t>
  </si>
  <si>
    <t>Model:</t>
  </si>
  <si>
    <t>OLS</t>
  </si>
  <si>
    <t>Adj. R-squared:</t>
  </si>
  <si>
    <t>Method:</t>
  </si>
  <si>
    <t>Least Squares</t>
  </si>
  <si>
    <t>F-statistic:</t>
  </si>
  <si>
    <t>Date:</t>
  </si>
  <si>
    <t>Wed, 08 Jun 2022</t>
  </si>
  <si>
    <t>Prob (F-statistic):</t>
  </si>
  <si>
    <t>Time:</t>
  </si>
  <si>
    <t>Log-Likelihood:</t>
  </si>
  <si>
    <t>No. Observations:</t>
  </si>
  <si>
    <t>AIC:</t>
  </si>
  <si>
    <t>Df Residuals:</t>
  </si>
  <si>
    <t>BIC:</t>
  </si>
  <si>
    <t>Df Model:</t>
  </si>
  <si>
    <t>Covariance Type:</t>
  </si>
  <si>
    <t>nonrobust</t>
  </si>
  <si>
    <t>coef</t>
  </si>
  <si>
    <t>std err</t>
  </si>
  <si>
    <t>t</t>
  </si>
  <si>
    <t>P&gt;|t|</t>
  </si>
  <si>
    <t>[0.025</t>
  </si>
  <si>
    <t>0.975]</t>
  </si>
  <si>
    <t>Intercept</t>
  </si>
  <si>
    <t>C(B_type)[T.2]</t>
  </si>
  <si>
    <t>C(B_type)[T.3]</t>
  </si>
  <si>
    <t>C(Gender)[T.2]</t>
  </si>
  <si>
    <t>Sales</t>
  </si>
  <si>
    <t>C(B_type)[T.2]:Sales</t>
  </si>
  <si>
    <t>C(B_type)[T.3]:Sales</t>
  </si>
  <si>
    <t>C(Gender)[T.2]:Sales</t>
  </si>
  <si>
    <t>Omnibus:</t>
  </si>
  <si>
    <t>Durbin-Watson:</t>
  </si>
  <si>
    <t>Prob(Omnibus):</t>
  </si>
  <si>
    <t>Jarque-Bera (JB):</t>
  </si>
  <si>
    <t>Skew:</t>
  </si>
  <si>
    <t>Prob(JB):</t>
  </si>
  <si>
    <t>Kurtosis:</t>
  </si>
  <si>
    <t>Cond. No.</t>
  </si>
  <si>
    <t>Warnings:</t>
  </si>
  <si>
    <t>[1] Standard Errors assume that the covariance matrix of the errors is correctly specified.</t>
  </si>
  <si>
    <t>[2] The condition number is large, 2.64e+04. This might indicate that there are</t>
  </si>
  <si>
    <t>strong multicollinearity or other numerical problems.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</si>
</sst>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#,##0.0000000"/>
  </numFmts>
  <fonts count="8">
    <font>
      <sz val="10.0"/>
      <color rgb="FF000000"/>
      <name val="Arial"/>
      <scheme val="minor"/>
    </font>
    <font>
      <b/>
      <sz val="11.0"/>
      <color theme="1"/>
      <name val="Roboto"/>
    </font>
    <font>
      <b/>
      <color theme="1"/>
      <name val="Arial"/>
      <scheme val="minor"/>
    </font>
    <font>
      <sz val="11.0"/>
      <color theme="1"/>
      <name val="Roboto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D5D5D5"/>
      <name val="Roboto"/>
    </font>
    <font>
      <sz val="11.0"/>
      <color rgb="FFD5D5D5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right" readingOrder="0"/>
    </xf>
    <xf borderId="0" fillId="2" fontId="1" numFmtId="0" xfId="0" applyAlignment="1" applyFont="1">
      <alignment horizontal="right"/>
    </xf>
    <xf borderId="0" fillId="2" fontId="2" numFmtId="0" xfId="0" applyAlignment="1" applyFont="1">
      <alignment readingOrder="0"/>
    </xf>
    <xf borderId="0" fillId="2" fontId="3" numFmtId="164" xfId="0" applyAlignment="1" applyFont="1" applyNumberFormat="1">
      <alignment horizontal="right" readingOrder="0"/>
    </xf>
    <xf borderId="0" fillId="2" fontId="3" numFmtId="2" xfId="0" applyAlignment="1" applyFont="1" applyNumberFormat="1">
      <alignment horizontal="right" readingOrder="0"/>
    </xf>
    <xf borderId="0" fillId="2" fontId="4" numFmtId="0" xfId="0" applyFont="1"/>
    <xf borderId="0" fillId="0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5" numFmtId="0" xfId="0" applyFill="1" applyFont="1"/>
    <xf borderId="0" fillId="0" fontId="4" numFmtId="165" xfId="0" applyFont="1" applyNumberFormat="1"/>
    <xf borderId="0" fillId="2" fontId="3" numFmtId="165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2" fontId="3" numFmtId="166" xfId="0" applyAlignment="1" applyFont="1" applyNumberFormat="1">
      <alignment readingOrder="0"/>
    </xf>
    <xf borderId="0" fillId="2" fontId="6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3" numFmtId="11" xfId="0" applyAlignment="1" applyFont="1" applyNumberFormat="1">
      <alignment readingOrder="0"/>
    </xf>
    <xf borderId="0" fillId="2" fontId="3" numFmtId="21" xfId="0" applyAlignment="1" applyFont="1" applyNumberFormat="1">
      <alignment readingOrder="0"/>
    </xf>
    <xf borderId="0" fillId="2" fontId="1" numFmtId="0" xfId="0" applyAlignment="1" applyFont="1">
      <alignment horizontal="center"/>
    </xf>
    <xf borderId="0" fillId="2" fontId="3" numFmtId="0" xfId="0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2" t="s">
        <v>3</v>
      </c>
    </row>
    <row r="3">
      <c r="A3" s="3" t="s">
        <v>4</v>
      </c>
      <c r="B3" s="4">
        <v>95.7</v>
      </c>
      <c r="C3" s="4">
        <v>12.605554</v>
      </c>
      <c r="D3" s="4">
        <v>5.995818</v>
      </c>
    </row>
    <row r="4">
      <c r="A4" s="3" t="s">
        <v>5</v>
      </c>
      <c r="B4" s="4">
        <v>104.1</v>
      </c>
      <c r="C4" s="4">
        <v>18.4418</v>
      </c>
      <c r="D4" s="4">
        <v>0.007003</v>
      </c>
    </row>
    <row r="5">
      <c r="A5" s="3" t="s">
        <v>6</v>
      </c>
      <c r="B5" s="4">
        <v>122.4</v>
      </c>
      <c r="C5" s="4">
        <v>20.823064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1"/>
      <c r="C1" s="1"/>
      <c r="D1" s="6"/>
    </row>
    <row r="2">
      <c r="A2" s="1" t="s">
        <v>7</v>
      </c>
      <c r="B2" s="1" t="s">
        <v>1</v>
      </c>
      <c r="C2" s="1" t="s">
        <v>2</v>
      </c>
      <c r="D2" s="6" t="s">
        <v>3</v>
      </c>
    </row>
    <row r="3">
      <c r="A3" s="3" t="s">
        <v>8</v>
      </c>
      <c r="B3" s="4">
        <v>1.416632</v>
      </c>
      <c r="C3" s="4">
        <v>0.64147</v>
      </c>
      <c r="D3" s="7">
        <v>3.880599</v>
      </c>
    </row>
    <row r="4">
      <c r="A4" s="3" t="s">
        <v>9</v>
      </c>
      <c r="B4" s="4">
        <v>1.211395</v>
      </c>
      <c r="C4" s="4">
        <v>0.683047</v>
      </c>
      <c r="D4" s="8">
        <v>0.020935</v>
      </c>
    </row>
    <row r="5">
      <c r="A5" s="3" t="s">
        <v>10</v>
      </c>
      <c r="B5" s="4">
        <v>1.285336</v>
      </c>
      <c r="C5" s="4">
        <v>0.671709</v>
      </c>
      <c r="D5" s="9"/>
    </row>
    <row r="7">
      <c r="A7" s="10" t="s">
        <v>11</v>
      </c>
      <c r="B7" s="10" t="s">
        <v>7</v>
      </c>
      <c r="C7" s="10" t="s">
        <v>12</v>
      </c>
      <c r="D7" s="10" t="s">
        <v>13</v>
      </c>
    </row>
    <row r="8">
      <c r="A8" s="10">
        <v>1.0</v>
      </c>
      <c r="B8" s="10">
        <v>1.0</v>
      </c>
      <c r="C8" s="11">
        <f>B29</f>
        <v>1.861</v>
      </c>
      <c r="D8" s="11">
        <f>B33</f>
        <v>-0.0005</v>
      </c>
    </row>
    <row r="9">
      <c r="A9" s="10">
        <v>1.0</v>
      </c>
      <c r="B9" s="10">
        <v>2.0</v>
      </c>
      <c r="C9" s="12">
        <f>B29+B30</f>
        <v>2.0511</v>
      </c>
      <c r="D9" s="11">
        <f>B33+B34</f>
        <v>-0.0008</v>
      </c>
      <c r="F9" s="13"/>
    </row>
    <row r="10">
      <c r="A10" s="10">
        <v>1.0</v>
      </c>
      <c r="B10" s="10">
        <v>3.0</v>
      </c>
      <c r="C10" s="11">
        <f>B29+B31</f>
        <v>1.855</v>
      </c>
      <c r="D10" s="14">
        <f>B33+B35</f>
        <v>-0.00056534</v>
      </c>
    </row>
    <row r="11">
      <c r="A11" s="10">
        <v>2.0</v>
      </c>
      <c r="B11" s="10">
        <v>1.0</v>
      </c>
      <c r="C11" s="14">
        <f>B29+B32</f>
        <v>1.8041</v>
      </c>
      <c r="D11" s="11">
        <f>B33+B36</f>
        <v>-0.0004</v>
      </c>
    </row>
    <row r="12">
      <c r="A12" s="10">
        <v>2.0</v>
      </c>
      <c r="B12" s="10">
        <v>2.0</v>
      </c>
      <c r="C12" s="15">
        <v>1.9942</v>
      </c>
      <c r="D12" s="11">
        <f>B33+B34+B36</f>
        <v>-0.0007</v>
      </c>
    </row>
    <row r="13">
      <c r="A13" s="10">
        <v>2.0</v>
      </c>
      <c r="B13" s="10">
        <v>3.0</v>
      </c>
      <c r="C13" s="10">
        <f>B29+B32+B31</f>
        <v>1.7981</v>
      </c>
      <c r="D13" s="16">
        <f>B33+B35+B36</f>
        <v>-0.00046534</v>
      </c>
    </row>
    <row r="17">
      <c r="A17" s="17"/>
      <c r="B17" s="18"/>
      <c r="C17" s="17"/>
      <c r="D17" s="18"/>
      <c r="E17" s="9"/>
      <c r="F17" s="9"/>
      <c r="G17" s="19"/>
      <c r="H17" s="19"/>
    </row>
    <row r="18">
      <c r="A18" s="17"/>
      <c r="B18" s="18"/>
      <c r="C18" s="17"/>
      <c r="D18" s="18"/>
      <c r="E18" s="9"/>
      <c r="F18" s="9"/>
      <c r="G18" s="9"/>
      <c r="H18" s="9"/>
    </row>
    <row r="19">
      <c r="A19" s="3" t="s">
        <v>14</v>
      </c>
      <c r="B19" s="11" t="s">
        <v>15</v>
      </c>
      <c r="C19" s="3" t="s">
        <v>16</v>
      </c>
      <c r="D19" s="11">
        <v>0.079</v>
      </c>
      <c r="E19" s="9"/>
      <c r="F19" s="9"/>
      <c r="G19" s="9"/>
      <c r="H19" s="9"/>
    </row>
    <row r="20">
      <c r="A20" s="3" t="s">
        <v>17</v>
      </c>
      <c r="B20" s="11" t="s">
        <v>18</v>
      </c>
      <c r="C20" s="3" t="s">
        <v>19</v>
      </c>
      <c r="D20" s="20">
        <v>0.073</v>
      </c>
      <c r="E20" s="9"/>
      <c r="F20" s="9"/>
      <c r="G20" s="9"/>
      <c r="H20" s="9"/>
    </row>
    <row r="21">
      <c r="A21" s="3" t="s">
        <v>20</v>
      </c>
      <c r="B21" s="11" t="s">
        <v>21</v>
      </c>
      <c r="C21" s="3" t="s">
        <v>22</v>
      </c>
      <c r="D21" s="11">
        <v>12.79</v>
      </c>
      <c r="E21" s="9"/>
      <c r="F21" s="9"/>
      <c r="G21" s="9"/>
      <c r="H21" s="9"/>
    </row>
    <row r="22">
      <c r="A22" s="3" t="s">
        <v>23</v>
      </c>
      <c r="B22" s="11" t="s">
        <v>24</v>
      </c>
      <c r="C22" s="3" t="s">
        <v>25</v>
      </c>
      <c r="D22" s="20">
        <v>7.78E-16</v>
      </c>
      <c r="E22" s="9"/>
      <c r="F22" s="9"/>
      <c r="G22" s="9"/>
      <c r="H22" s="9"/>
    </row>
    <row r="23">
      <c r="A23" s="3" t="s">
        <v>26</v>
      </c>
      <c r="B23" s="21">
        <v>0.35756944444444444</v>
      </c>
      <c r="C23" s="3" t="s">
        <v>27</v>
      </c>
      <c r="D23" s="11">
        <v>-1027.1</v>
      </c>
      <c r="E23" s="9"/>
      <c r="F23" s="9"/>
      <c r="G23" s="9"/>
      <c r="H23" s="9"/>
    </row>
    <row r="24">
      <c r="A24" s="3" t="s">
        <v>28</v>
      </c>
      <c r="B24" s="11">
        <v>1053.0</v>
      </c>
      <c r="C24" s="3" t="s">
        <v>29</v>
      </c>
      <c r="D24" s="11">
        <v>2070.0</v>
      </c>
      <c r="E24" s="9"/>
      <c r="F24" s="9"/>
      <c r="G24" s="9"/>
      <c r="H24" s="9"/>
    </row>
    <row r="25">
      <c r="A25" s="3" t="s">
        <v>30</v>
      </c>
      <c r="B25" s="11">
        <v>1045.0</v>
      </c>
      <c r="C25" s="3" t="s">
        <v>31</v>
      </c>
      <c r="D25" s="11">
        <v>2110.0</v>
      </c>
      <c r="E25" s="9"/>
      <c r="F25" s="9"/>
      <c r="G25" s="9"/>
      <c r="H25" s="9"/>
    </row>
    <row r="26">
      <c r="A26" s="3" t="s">
        <v>32</v>
      </c>
      <c r="B26" s="11">
        <v>7.0</v>
      </c>
      <c r="C26" s="22"/>
      <c r="D26" s="23"/>
      <c r="E26" s="3"/>
      <c r="F26" s="3"/>
      <c r="G26" s="3"/>
      <c r="H26" s="9"/>
    </row>
    <row r="27">
      <c r="A27" s="3" t="s">
        <v>33</v>
      </c>
      <c r="B27" s="11" t="s">
        <v>34</v>
      </c>
      <c r="C27" s="22"/>
      <c r="D27" s="23"/>
      <c r="E27" s="11"/>
      <c r="F27" s="11"/>
      <c r="G27" s="11"/>
      <c r="H27" s="9"/>
    </row>
    <row r="28">
      <c r="A28" s="23"/>
      <c r="B28" s="3" t="s">
        <v>35</v>
      </c>
      <c r="C28" s="3" t="s">
        <v>36</v>
      </c>
      <c r="D28" s="3" t="s">
        <v>37</v>
      </c>
      <c r="E28" s="3" t="s">
        <v>38</v>
      </c>
      <c r="F28" s="3" t="s">
        <v>39</v>
      </c>
      <c r="G28" s="3" t="s">
        <v>40</v>
      </c>
      <c r="H28" s="9"/>
    </row>
    <row r="29">
      <c r="A29" s="3" t="s">
        <v>41</v>
      </c>
      <c r="B29" s="11">
        <v>1.861</v>
      </c>
      <c r="C29" s="11">
        <v>0.182</v>
      </c>
      <c r="D29" s="11">
        <v>10.229</v>
      </c>
      <c r="E29" s="11">
        <v>0.0</v>
      </c>
      <c r="F29" s="11">
        <v>1.504</v>
      </c>
      <c r="G29" s="11">
        <v>2.218</v>
      </c>
      <c r="H29" s="9"/>
    </row>
    <row r="30">
      <c r="A30" s="3" t="s">
        <v>42</v>
      </c>
      <c r="B30" s="11">
        <v>0.1901</v>
      </c>
      <c r="C30" s="11">
        <v>0.246</v>
      </c>
      <c r="D30" s="11">
        <v>0.773</v>
      </c>
      <c r="E30" s="11">
        <v>0.44</v>
      </c>
      <c r="F30" s="11">
        <v>-0.292</v>
      </c>
      <c r="G30" s="11">
        <v>0.672</v>
      </c>
      <c r="H30" s="9"/>
    </row>
    <row r="31">
      <c r="A31" s="3" t="s">
        <v>43</v>
      </c>
      <c r="B31" s="11">
        <v>-0.006</v>
      </c>
      <c r="C31" s="20">
        <v>0.147</v>
      </c>
      <c r="D31" s="11">
        <v>-0.041</v>
      </c>
      <c r="E31" s="11">
        <v>0.967</v>
      </c>
      <c r="F31" s="11">
        <v>-0.294</v>
      </c>
      <c r="G31" s="11">
        <v>0.282</v>
      </c>
      <c r="H31" s="9"/>
    </row>
    <row r="32">
      <c r="A32" s="3" t="s">
        <v>44</v>
      </c>
      <c r="B32" s="11">
        <v>-0.0569</v>
      </c>
      <c r="C32" s="11">
        <v>0.177</v>
      </c>
      <c r="D32" s="11">
        <v>-0.322</v>
      </c>
      <c r="E32" s="11">
        <v>0.748</v>
      </c>
      <c r="F32" s="11">
        <v>-0.404</v>
      </c>
      <c r="G32" s="11">
        <v>0.29</v>
      </c>
      <c r="H32" s="9"/>
    </row>
    <row r="33">
      <c r="A33" s="3" t="s">
        <v>45</v>
      </c>
      <c r="B33" s="11">
        <v>-5.0E-4</v>
      </c>
      <c r="C33" s="11">
        <v>0.0</v>
      </c>
      <c r="D33" s="11">
        <v>-1.917</v>
      </c>
      <c r="E33" s="11">
        <v>0.055</v>
      </c>
      <c r="F33" s="11">
        <v>-0.001</v>
      </c>
      <c r="G33" s="20">
        <v>1.23E-5</v>
      </c>
      <c r="H33" s="9"/>
    </row>
    <row r="34">
      <c r="A34" s="3" t="s">
        <v>46</v>
      </c>
      <c r="B34" s="11">
        <v>-3.0E-4</v>
      </c>
      <c r="C34" s="11">
        <v>0.0</v>
      </c>
      <c r="D34" s="11">
        <v>-1.523</v>
      </c>
      <c r="E34" s="11">
        <v>0.128</v>
      </c>
      <c r="F34" s="11">
        <v>-0.001</v>
      </c>
      <c r="G34" s="20">
        <v>9.37E-5</v>
      </c>
      <c r="H34" s="9"/>
    </row>
    <row r="35">
      <c r="A35" s="3" t="s">
        <v>47</v>
      </c>
      <c r="B35" s="20">
        <v>-6.534E-5</v>
      </c>
      <c r="C35" s="11">
        <v>0.0</v>
      </c>
      <c r="D35" s="20">
        <v>-0.5</v>
      </c>
      <c r="E35" s="11">
        <v>0.617</v>
      </c>
      <c r="F35" s="11">
        <v>0.0</v>
      </c>
      <c r="G35" s="11">
        <v>0.0</v>
      </c>
      <c r="H35" s="9"/>
    </row>
    <row r="36">
      <c r="A36" s="3" t="s">
        <v>48</v>
      </c>
      <c r="B36" s="11">
        <v>1.0E-4</v>
      </c>
      <c r="C36" s="11">
        <v>0.0</v>
      </c>
      <c r="D36" s="11">
        <v>0.546</v>
      </c>
      <c r="E36" s="11">
        <v>0.585</v>
      </c>
      <c r="F36" s="11">
        <v>0.0</v>
      </c>
      <c r="G36" s="11">
        <v>0.001</v>
      </c>
      <c r="H36" s="9"/>
    </row>
    <row r="37">
      <c r="A37" s="3" t="s">
        <v>49</v>
      </c>
      <c r="B37" s="11">
        <v>16.72</v>
      </c>
      <c r="C37" s="3" t="s">
        <v>50</v>
      </c>
      <c r="D37" s="11">
        <v>2.04</v>
      </c>
      <c r="E37" s="9"/>
      <c r="F37" s="9"/>
      <c r="G37" s="9"/>
      <c r="H37" s="9"/>
    </row>
    <row r="38">
      <c r="A38" s="3" t="s">
        <v>51</v>
      </c>
      <c r="B38" s="11">
        <v>0.0</v>
      </c>
      <c r="C38" s="3" t="s">
        <v>52</v>
      </c>
      <c r="D38" s="11">
        <v>10.469</v>
      </c>
      <c r="E38" s="9"/>
      <c r="F38" s="9"/>
      <c r="G38" s="9"/>
      <c r="H38" s="9"/>
    </row>
    <row r="39">
      <c r="A39" s="3" t="s">
        <v>53</v>
      </c>
      <c r="B39" s="11">
        <v>0.075</v>
      </c>
      <c r="C39" s="3" t="s">
        <v>54</v>
      </c>
      <c r="D39" s="11">
        <v>0.00533</v>
      </c>
      <c r="E39" s="9"/>
      <c r="F39" s="9"/>
      <c r="G39" s="9"/>
      <c r="H39" s="9"/>
    </row>
    <row r="40">
      <c r="A40" s="3" t="s">
        <v>55</v>
      </c>
      <c r="B40" s="11">
        <v>2.535</v>
      </c>
      <c r="C40" s="3" t="s">
        <v>56</v>
      </c>
      <c r="D40" s="20">
        <v>26400.0</v>
      </c>
      <c r="E40" s="9"/>
      <c r="F40" s="9"/>
      <c r="G40" s="9"/>
      <c r="H40" s="9"/>
    </row>
    <row r="41">
      <c r="A41" s="23"/>
      <c r="B41" s="9"/>
      <c r="C41" s="9"/>
      <c r="D41" s="9"/>
      <c r="E41" s="9"/>
      <c r="F41" s="9"/>
      <c r="G41" s="9"/>
      <c r="H41" s="9"/>
    </row>
    <row r="42">
      <c r="A42" s="24"/>
      <c r="B42" s="9"/>
      <c r="C42" s="9"/>
      <c r="D42" s="9"/>
      <c r="E42" s="9"/>
      <c r="F42" s="9"/>
      <c r="G42" s="9"/>
      <c r="H42" s="9"/>
    </row>
    <row r="43">
      <c r="A43" s="11" t="s">
        <v>57</v>
      </c>
      <c r="B43" s="9"/>
      <c r="C43" s="9"/>
      <c r="D43" s="9"/>
      <c r="E43" s="9"/>
      <c r="F43" s="9"/>
      <c r="G43" s="9"/>
      <c r="H43" s="9"/>
    </row>
    <row r="44">
      <c r="A44" s="11" t="s">
        <v>58</v>
      </c>
      <c r="B44" s="9"/>
      <c r="C44" s="9"/>
      <c r="D44" s="9"/>
      <c r="E44" s="9"/>
      <c r="F44" s="9"/>
      <c r="G44" s="9"/>
      <c r="H44" s="9"/>
    </row>
    <row r="45">
      <c r="A45" s="11" t="s">
        <v>59</v>
      </c>
      <c r="B45" s="9"/>
      <c r="C45" s="9"/>
      <c r="D45" s="9"/>
      <c r="E45" s="9"/>
      <c r="F45" s="9"/>
      <c r="G45" s="9"/>
      <c r="H45" s="9"/>
    </row>
    <row r="46">
      <c r="A46" s="11" t="s">
        <v>60</v>
      </c>
      <c r="B46" s="9"/>
      <c r="C46" s="9"/>
      <c r="D46" s="9"/>
      <c r="E46" s="9"/>
      <c r="F46" s="9"/>
      <c r="G46" s="9"/>
      <c r="H46" s="9"/>
    </row>
    <row r="47">
      <c r="A47" s="9"/>
      <c r="B47" s="9"/>
      <c r="C47" s="9"/>
      <c r="D47" s="9"/>
      <c r="E47" s="9"/>
      <c r="F47" s="9"/>
      <c r="G47" s="9"/>
      <c r="H47" s="9"/>
    </row>
    <row r="48">
      <c r="A48" s="9"/>
      <c r="B48" s="9"/>
      <c r="C48" s="9"/>
      <c r="D48" s="9"/>
      <c r="E48" s="9"/>
      <c r="F48" s="9"/>
      <c r="G48" s="9"/>
      <c r="H48" s="9"/>
    </row>
  </sheetData>
  <drawing r:id="rId1"/>
</worksheet>
</file>