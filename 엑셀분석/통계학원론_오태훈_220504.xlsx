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71b02510102b72c/바탕 화면/통계학원론/"/>
    </mc:Choice>
  </mc:AlternateContent>
  <xr:revisionPtr revIDLastSave="197" documentId="8_{CB8AE35A-AE1D-4236-8F1B-7B599A3377FA}" xr6:coauthVersionLast="47" xr6:coauthVersionMax="47" xr10:uidLastSave="{D6448783-9A79-4AB2-A04C-7C821A5E0F07}"/>
  <bookViews>
    <workbookView xWindow="0" yWindow="190" windowWidth="25600" windowHeight="14660" tabRatio="500" activeTab="2" xr2:uid="{00000000-000D-0000-FFFF-FFFF00000000}"/>
  </bookViews>
  <sheets>
    <sheet name="확률변수_기대값" sheetId="3" r:id="rId1"/>
    <sheet name="적합성검정" sheetId="2" r:id="rId2"/>
    <sheet name="은행문제" sheetId="1" r:id="rId3"/>
  </sheets>
  <definedNames>
    <definedName name="_xlchart.v1.0" hidden="1">은행문제!$F$1:$F$2</definedName>
    <definedName name="_xlchart.v1.1" hidden="1">은행문제!$F$3:$F$1055</definedName>
  </definedNames>
  <calcPr calcId="191029" concurrentCalc="0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10" i="1" l="1"/>
  <c r="AD5" i="1"/>
  <c r="I21" i="1"/>
  <c r="I20" i="1"/>
  <c r="I19" i="1"/>
  <c r="I17" i="1"/>
  <c r="I16" i="1"/>
  <c r="J15" i="1"/>
  <c r="I15" i="1"/>
  <c r="I12" i="1"/>
  <c r="J12" i="1"/>
  <c r="K12" i="1"/>
  <c r="J18" i="3"/>
  <c r="D17" i="3"/>
  <c r="E17" i="3"/>
  <c r="F17" i="3"/>
  <c r="G17" i="3"/>
  <c r="H17" i="3"/>
  <c r="I17" i="3"/>
  <c r="C17" i="3"/>
  <c r="J16" i="3"/>
  <c r="J17" i="3"/>
  <c r="D16" i="3"/>
  <c r="E16" i="3"/>
  <c r="F16" i="3"/>
  <c r="G16" i="3"/>
  <c r="H16" i="3"/>
  <c r="I16" i="3"/>
  <c r="C16" i="3"/>
  <c r="F15" i="3"/>
  <c r="G15" i="3"/>
  <c r="E15" i="3"/>
  <c r="D15" i="3"/>
  <c r="H15" i="3"/>
  <c r="I15" i="3"/>
  <c r="J15" i="3"/>
  <c r="C15" i="3"/>
  <c r="G8" i="3"/>
  <c r="D7" i="3"/>
  <c r="E7" i="3"/>
  <c r="F7" i="3"/>
  <c r="C7" i="3"/>
  <c r="G7" i="3"/>
  <c r="G6" i="3"/>
  <c r="D6" i="3"/>
  <c r="E6" i="3"/>
  <c r="F6" i="3"/>
  <c r="C6" i="3"/>
  <c r="G5" i="3"/>
  <c r="F5" i="3"/>
  <c r="E5" i="3"/>
  <c r="D5" i="3"/>
  <c r="C5" i="3"/>
</calcChain>
</file>

<file path=xl/sharedStrings.xml><?xml version="1.0" encoding="utf-8"?>
<sst xmlns="http://schemas.openxmlformats.org/spreadsheetml/2006/main" count="94" uniqueCount="75">
  <si>
    <t>Gender</t>
  </si>
  <si>
    <t>Sales</t>
  </si>
  <si>
    <t>Interest</t>
    <phoneticPr fontId="1" type="noConversion"/>
  </si>
  <si>
    <t>Age</t>
    <phoneticPr fontId="1" type="noConversion"/>
  </si>
  <si>
    <t>B_type</t>
    <phoneticPr fontId="1" type="noConversion"/>
  </si>
  <si>
    <t>Gender</t>
    <phoneticPr fontId="1" type="noConversion"/>
  </si>
  <si>
    <t>남자</t>
    <phoneticPr fontId="1" type="noConversion"/>
  </si>
  <si>
    <t>여자</t>
    <phoneticPr fontId="1" type="noConversion"/>
  </si>
  <si>
    <t>기업형태</t>
    <phoneticPr fontId="1" type="noConversion"/>
  </si>
  <si>
    <t>개인</t>
    <phoneticPr fontId="1" type="noConversion"/>
  </si>
  <si>
    <t>파트너</t>
    <phoneticPr fontId="1" type="noConversion"/>
  </si>
  <si>
    <t>기업</t>
    <phoneticPr fontId="1" type="noConversion"/>
  </si>
  <si>
    <t>여성CEO 주장</t>
    <phoneticPr fontId="1" type="noConversion"/>
  </si>
  <si>
    <t>은행 주장</t>
    <phoneticPr fontId="1" type="noConversion"/>
  </si>
  <si>
    <t>1) 승인율 측면 차별한다</t>
    <phoneticPr fontId="1" type="noConversion"/>
  </si>
  <si>
    <t>2) 남성에 비해 여성 대출 이자율이 높다</t>
    <phoneticPr fontId="1" type="noConversion"/>
  </si>
  <si>
    <t>1) 매출액, 기업연수 등이 결정한다.</t>
    <phoneticPr fontId="1" type="noConversion"/>
  </si>
  <si>
    <t>A 은행에 대출 신청한 CEO중 1165명(남성 1050, 여성 115명) 확률추출 하여 대출여부와 승인 받은 경우 대출 이자율, 매출액, 기업설립 연수를 조사하였다.</t>
    <phoneticPr fontId="1" type="noConversion"/>
  </si>
  <si>
    <t>(문제1)</t>
    <phoneticPr fontId="1" type="noConversion"/>
  </si>
  <si>
    <t>확률변수 X의 확률분포함수, 기대값과 분산을 구하시오.</t>
    <phoneticPr fontId="1" type="noConversion"/>
  </si>
  <si>
    <t>X</t>
    <phoneticPr fontId="1" type="noConversion"/>
  </si>
  <si>
    <t>P(x)</t>
    <phoneticPr fontId="1" type="noConversion"/>
  </si>
  <si>
    <t>(문제2)</t>
    <phoneticPr fontId="1" type="noConversion"/>
  </si>
  <si>
    <t>A도시의 성비는 동일한가?</t>
    <phoneticPr fontId="1" type="noConversion"/>
  </si>
  <si>
    <t>자녀가 3인인 1,000 가구 남자 아이 조사한 자료이다.</t>
    <phoneticPr fontId="1" type="noConversion"/>
  </si>
  <si>
    <t>X*P(x)</t>
    <phoneticPr fontId="1" type="noConversion"/>
  </si>
  <si>
    <t>(X-E(X))^2*P(x)</t>
    <phoneticPr fontId="1" type="noConversion"/>
  </si>
  <si>
    <t>남자아이 수</t>
    <phoneticPr fontId="1" type="noConversion"/>
  </si>
  <si>
    <t>가구수</t>
    <phoneticPr fontId="1" type="noConversion"/>
  </si>
  <si>
    <t>D 지역 1일 교통사고 건수는 다음과 같다</t>
    <phoneticPr fontId="1" type="noConversion"/>
  </si>
  <si>
    <t>교통사고 건수는 포아송분포를 따르는가?</t>
    <phoneticPr fontId="1" type="noConversion"/>
  </si>
  <si>
    <t>건수</t>
    <phoneticPr fontId="1" type="noConversion"/>
  </si>
  <si>
    <t>요일수</t>
    <phoneticPr fontId="1" type="noConversion"/>
  </si>
  <si>
    <t>동전을 3개 던져 앞이 나오는 개수를 확률변수 X라 하자.</t>
    <phoneticPr fontId="1" type="noConversion"/>
  </si>
  <si>
    <t>sum</t>
    <phoneticPr fontId="1" type="noConversion"/>
  </si>
  <si>
    <t>평균</t>
    <phoneticPr fontId="1" type="noConversion"/>
  </si>
  <si>
    <t>분산</t>
    <phoneticPr fontId="1" type="noConversion"/>
  </si>
  <si>
    <t>표준편차</t>
    <phoneticPr fontId="1" type="noConversion"/>
  </si>
  <si>
    <t>흩어짐 = 표준편차</t>
    <phoneticPr fontId="1" type="noConversion"/>
  </si>
  <si>
    <t>가운데 = 평균</t>
    <phoneticPr fontId="1" type="noConversion"/>
  </si>
  <si>
    <t>(실습1)</t>
    <phoneticPr fontId="1" type="noConversion"/>
  </si>
  <si>
    <t>4면체 주사위 두개를 던져 나오는 두 눈금의 합을 확률변수X라 하자.
확률변수 X의 확률분포함수, 기대값과 분산을 구하시오.</t>
    <phoneticPr fontId="1" type="noConversion"/>
  </si>
  <si>
    <t>변수종류</t>
    <phoneticPr fontId="1" type="noConversion"/>
  </si>
  <si>
    <t>X=성별</t>
    <phoneticPr fontId="1" type="noConversion"/>
  </si>
  <si>
    <t>P(X)</t>
    <phoneticPr fontId="1" type="noConversion"/>
  </si>
  <si>
    <t>SUM</t>
    <phoneticPr fontId="1" type="noConversion"/>
  </si>
  <si>
    <t>표본pdf</t>
    <phoneticPr fontId="1" type="noConversion"/>
  </si>
  <si>
    <t>X=이자율</t>
    <phoneticPr fontId="1" type="noConversion"/>
  </si>
  <si>
    <t>최소값</t>
    <phoneticPr fontId="1" type="noConversion"/>
  </si>
  <si>
    <t>최대값</t>
    <phoneticPr fontId="1" type="noConversion"/>
  </si>
  <si>
    <t>&lt;= 히스토그램</t>
    <phoneticPr fontId="1" type="noConversion"/>
  </si>
  <si>
    <t>이산형</t>
    <phoneticPr fontId="1" type="noConversion"/>
  </si>
  <si>
    <t>연속형</t>
    <phoneticPr fontId="1" type="noConversion"/>
  </si>
  <si>
    <t>표본평균이자율</t>
    <phoneticPr fontId="1" type="noConversion"/>
  </si>
  <si>
    <t>이자율 표준편차</t>
    <phoneticPr fontId="1" type="noConversion"/>
  </si>
  <si>
    <t>행 레이블</t>
  </si>
  <si>
    <t>총합계</t>
  </si>
  <si>
    <t>평균 : Interest</t>
  </si>
  <si>
    <t>&lt;=통계량</t>
    <phoneticPr fontId="1" type="noConversion"/>
  </si>
  <si>
    <t>전체 승인율</t>
    <phoneticPr fontId="1" type="noConversion"/>
  </si>
  <si>
    <t>개수 : Interest</t>
  </si>
  <si>
    <t>남자 승인율</t>
    <phoneticPr fontId="1" type="noConversion"/>
  </si>
  <si>
    <t>여자 승인율</t>
    <phoneticPr fontId="1" type="noConversion"/>
  </si>
  <si>
    <t>연구문제</t>
    <phoneticPr fontId="1" type="noConversion"/>
  </si>
  <si>
    <t>1) 여자 승인율이 남자 승인율보다 낮다</t>
    <phoneticPr fontId="1" type="noConversion"/>
  </si>
  <si>
    <t>귀무가설</t>
    <phoneticPr fontId="1" type="noConversion"/>
  </si>
  <si>
    <t>대립가설</t>
    <phoneticPr fontId="1" type="noConversion"/>
  </si>
  <si>
    <t>여자 승인율 - 남자 승인율 = 0</t>
    <phoneticPr fontId="1" type="noConversion"/>
  </si>
  <si>
    <t>여자 승인율 - 남자 승인율 &lt; 0</t>
    <phoneticPr fontId="1" type="noConversion"/>
  </si>
  <si>
    <t>추정치(MVUE)</t>
    <phoneticPr fontId="1" type="noConversion"/>
  </si>
  <si>
    <t>p-value</t>
    <phoneticPr fontId="1" type="noConversion"/>
  </si>
  <si>
    <t>여자 평균 대출 이자율 - 남자 평균 대출 이자율 = 0</t>
    <phoneticPr fontId="1" type="noConversion"/>
  </si>
  <si>
    <t>여자 평균 대출 이자율 - 남자 평균 대출 이자율 &gt; 0</t>
    <phoneticPr fontId="1" type="noConversion"/>
  </si>
  <si>
    <t>검정통계량</t>
    <phoneticPr fontId="1" type="noConversion"/>
  </si>
  <si>
    <t>유의확률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</si>
</sst>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%"/>
  </numFmts>
  <fonts count="9">
    <font>
      <sz val="11"/>
      <color theme="1"/>
      <name val="나눔명조"/>
      <family val="3"/>
      <charset val="129"/>
    </font>
    <font>
      <sz val="8"/>
      <name val="나눔명조"/>
      <family val="3"/>
      <charset val="129"/>
    </font>
    <font>
      <sz val="14"/>
      <color theme="1"/>
      <name val="맑은 고딕"/>
      <family val="2"/>
      <charset val="129"/>
      <scheme val="major"/>
    </font>
    <font>
      <sz val="14"/>
      <color theme="1"/>
      <name val="NanumGothic"/>
      <family val="2"/>
      <charset val="129"/>
    </font>
    <font>
      <sz val="11"/>
      <color theme="1"/>
      <name val="나눔고딕"/>
      <family val="3"/>
      <charset val="129"/>
    </font>
    <font>
      <sz val="14"/>
      <color theme="1"/>
      <name val="NanumGothic"/>
      <charset val="129"/>
    </font>
    <font>
      <sz val="11"/>
      <color theme="1"/>
      <name val="Arial Unicode MS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177" fontId="2" fillId="2" borderId="0" xfId="0" applyNumberFormat="1" applyFont="1" applyFill="1"/>
    <xf numFmtId="176" fontId="2" fillId="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78" fontId="2" fillId="0" borderId="0" xfId="1" applyNumberFormat="1" applyFont="1" applyAlignment="1"/>
    <xf numFmtId="176" fontId="2" fillId="0" borderId="0" xfId="0" applyNumberFormat="1" applyFon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이자율 히스토그램</a:t>
            </a:r>
            <a:endPara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clusteredColumn" uniqueId="{BDA58D2F-0E18-4714-B589-45B61D915DEE}">
          <cx:tx>
            <cx:txData>
              <cx:f>_xlchart.v1.0</cx:f>
              <cx:v>연속형 Interest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612775</xdr:colOff>
      <xdr:row>8</xdr:row>
      <xdr:rowOff>263525</xdr:rowOff>
    </xdr:from>
    <xdr:to>
      <xdr:col>18</xdr:col>
      <xdr:colOff>454025</xdr:colOff>
      <xdr:row>19</xdr:row>
      <xdr:rowOff>73025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B58C0A42-61EF-4355-A046-EEEEB49C27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0975" y="2397125"/>
              <a:ext cx="4546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민수" refreshedDate="44678.723575231481" createdVersion="7" refreshedVersion="7" minRefreshableVersion="3" recordCount="1053" xr:uid="{C5C2E425-331B-4C4B-910F-80BDDF93BE51}">
  <cacheSource type="worksheet">
    <worksheetSource ref="B2:F1055" sheet="은행문제"/>
  </cacheSource>
  <cacheFields count="5">
    <cacheField name="Gender" numFmtId="0">
      <sharedItems containsSemiMixedTypes="0" containsString="0" containsNumber="1" containsInteger="1" minValue="1" maxValue="2" count="2">
        <n v="1"/>
        <n v="2"/>
      </sharedItems>
    </cacheField>
    <cacheField name="B_type" numFmtId="0">
      <sharedItems containsSemiMixedTypes="0" containsString="0" containsNumber="1" containsInteger="1" minValue="1" maxValue="3"/>
    </cacheField>
    <cacheField name="Sales" numFmtId="0">
      <sharedItems containsSemiMixedTypes="0" containsString="0" containsNumber="1" containsInteger="1" minValue="74" maxValue="2272"/>
    </cacheField>
    <cacheField name="Age" numFmtId="0">
      <sharedItems containsSemiMixedTypes="0" containsString="0" containsNumber="1" containsInteger="1" minValue="1" maxValue="27"/>
    </cacheField>
    <cacheField name="Interest" numFmtId="0">
      <sharedItems containsSemiMixedTypes="0" containsString="0" containsNumber="1" minValue="0" maxValue="3.29" count="266">
        <n v="1.65"/>
        <n v="0.89"/>
        <n v="1.1299999999999999"/>
        <n v="1.63"/>
        <n v="2.09"/>
        <n v="2.25"/>
        <n v="1.44"/>
        <n v="2.27"/>
        <n v="1.4"/>
        <n v="1.37"/>
        <n v="1.34"/>
        <n v="1.47"/>
        <n v="0.75"/>
        <n v="2.34"/>
        <n v="1.56"/>
        <n v="2.88"/>
        <n v="2.19"/>
        <n v="0.5"/>
        <n v="2.52"/>
        <n v="1.83"/>
        <n v="1.97"/>
        <n v="1.79"/>
        <n v="1.03"/>
        <n v="2.56"/>
        <n v="0.79"/>
        <n v="2.33"/>
        <n v="2.21"/>
        <n v="2.57"/>
        <n v="0.27"/>
        <n v="1.74"/>
        <n v="2.04"/>
        <n v="1.82"/>
        <n v="1.45"/>
        <n v="0.1"/>
        <n v="2.5"/>
        <n v="1.7"/>
        <n v="1.42"/>
        <n v="2.11"/>
        <n v="1.25"/>
        <n v="0.78"/>
        <n v="1.68"/>
        <n v="1.39"/>
        <n v="2.98"/>
        <n v="1.02"/>
        <n v="1.98"/>
        <n v="2.0099999999999998"/>
        <n v="1.89"/>
        <n v="1.55"/>
        <n v="1.67"/>
        <n v="1.17"/>
        <n v="1.23"/>
        <n v="0.68"/>
        <n v="1.66"/>
        <n v="0.94"/>
        <n v="1.2"/>
        <n v="1.1100000000000001"/>
        <n v="2.16"/>
        <n v="0.63"/>
        <n v="1.99"/>
        <n v="1.49"/>
        <n v="1.8"/>
        <n v="2.14"/>
        <n v="0.9"/>
        <n v="0.31"/>
        <n v="2.02"/>
        <n v="1.48"/>
        <n v="2.35"/>
        <n v="1.21"/>
        <n v="2.42"/>
        <n v="2.2999999999999998"/>
        <n v="1.76"/>
        <n v="1.69"/>
        <n v="0.86"/>
        <n v="0.62"/>
        <n v="0.47"/>
        <n v="0.22"/>
        <n v="2.46"/>
        <n v="1.24"/>
        <n v="1.86"/>
        <n v="0.76"/>
        <n v="2.97"/>
        <n v="1.01"/>
        <n v="2.2000000000000002"/>
        <n v="0.45"/>
        <n v="1.38"/>
        <n v="1.58"/>
        <n v="2.68"/>
        <n v="1.06"/>
        <n v="1.28"/>
        <n v="1.72"/>
        <n v="0.99"/>
        <n v="1.93"/>
        <n v="1.85"/>
        <n v="1.95"/>
        <n v="1.1399999999999999"/>
        <n v="0.44"/>
        <n v="1.26"/>
        <n v="1.27"/>
        <n v="1.1200000000000001"/>
        <n v="2.0699999999999998"/>
        <n v="1.05"/>
        <n v="0.56000000000000005"/>
        <n v="2.12"/>
        <n v="2.79"/>
        <n v="1.35"/>
        <n v="1.19"/>
        <n v="0.88"/>
        <n v="1.78"/>
        <n v="0.96"/>
        <n v="1.33"/>
        <n v="2.1"/>
        <n v="1.9"/>
        <n v="0.53"/>
        <n v="0.82"/>
        <n v="0.92"/>
        <n v="0.23"/>
        <n v="1.04"/>
        <n v="0.91"/>
        <n v="0.85"/>
        <n v="2"/>
        <n v="0.87"/>
        <n v="0.98"/>
        <n v="0.95"/>
        <n v="0.19"/>
        <n v="0.69"/>
        <n v="1.54"/>
        <n v="0.72"/>
        <n v="0.7"/>
        <n v="1.91"/>
        <n v="0.74"/>
        <n v="2.06"/>
        <n v="0.97"/>
        <n v="1.52"/>
        <n v="0.26"/>
        <n v="2.36"/>
        <n v="1.73"/>
        <n v="1.87"/>
        <n v="1.77"/>
        <n v="0.81"/>
        <n v="0.55000000000000004"/>
        <n v="0.66"/>
        <n v="0"/>
        <n v="2.75"/>
        <n v="2.61"/>
        <n v="0.37"/>
        <n v="2.37"/>
        <n v="1.51"/>
        <n v="0.61"/>
        <n v="0.71"/>
        <n v="2.15"/>
        <n v="1.46"/>
        <n v="2.65"/>
        <n v="0.11"/>
        <n v="0.25"/>
        <n v="2.2400000000000002"/>
        <n v="2.4500000000000002"/>
        <n v="1.29"/>
        <n v="1.3"/>
        <n v="1.92"/>
        <n v="0.18"/>
        <n v="2.89"/>
        <n v="0.3"/>
        <n v="1.5"/>
        <n v="0.33"/>
        <n v="1.64"/>
        <n v="0.39"/>
        <n v="1.1499999999999999"/>
        <n v="1.57"/>
        <n v="1.81"/>
        <n v="0.67"/>
        <n v="2.0499999999999998"/>
        <n v="0.8"/>
        <n v="1.08"/>
        <n v="1.41"/>
        <n v="2.41"/>
        <n v="0.46"/>
        <n v="1.43"/>
        <n v="0.2"/>
        <n v="0.01"/>
        <n v="1.53"/>
        <n v="2.0299999999999998"/>
        <n v="1.0900000000000001"/>
        <n v="2.58"/>
        <n v="0.09"/>
        <n v="0.41"/>
        <n v="1.32"/>
        <n v="0.64"/>
        <n v="1.62"/>
        <n v="1.71"/>
        <n v="0.52"/>
        <n v="1.1599999999999999"/>
        <n v="2.39"/>
        <n v="2.23"/>
        <n v="1"/>
        <n v="0.93"/>
        <n v="2.3199999999999998"/>
        <n v="0.17"/>
        <n v="1.6"/>
        <n v="0.36"/>
        <n v="0.15"/>
        <n v="0.77"/>
        <n v="1.31"/>
        <n v="2.74"/>
        <n v="0.57999999999999996"/>
        <n v="0.05"/>
        <n v="0.32"/>
        <n v="1.18"/>
        <n v="2.4700000000000002"/>
        <n v="1.36"/>
        <n v="2.5299999999999998"/>
        <n v="3.29"/>
        <n v="0.56999999999999995"/>
        <n v="0.21"/>
        <n v="0.54"/>
        <n v="1.84"/>
        <n v="0.59"/>
        <n v="2.69"/>
        <n v="2.17"/>
        <n v="0.83"/>
        <n v="2.08"/>
        <n v="0.43"/>
        <n v="1.88"/>
        <n v="2.29"/>
        <n v="2.13"/>
        <n v="0.4"/>
        <n v="1.07"/>
        <n v="2.77"/>
        <n v="1.75"/>
        <n v="2.62"/>
        <n v="2.31"/>
        <n v="0.48"/>
        <n v="0.6"/>
        <n v="2.99"/>
        <n v="2.95"/>
        <n v="1.59"/>
        <n v="0.42"/>
        <n v="2.2599999999999998"/>
        <n v="0.51"/>
        <n v="0.03"/>
        <n v="0.49"/>
        <n v="2.85"/>
        <n v="1.22"/>
        <n v="2.5499999999999998"/>
        <n v="0.84"/>
        <n v="3.08"/>
        <n v="0.04"/>
        <n v="2.86"/>
        <n v="0.35"/>
        <n v="0.28000000000000003"/>
        <n v="0.38"/>
        <n v="2.84"/>
        <n v="2.8"/>
        <n v="0.34"/>
        <n v="2.44"/>
        <n v="0.13"/>
        <n v="2.4300000000000002"/>
        <n v="1.61"/>
        <n v="2.64"/>
        <n v="0.24"/>
        <n v="2.2200000000000002"/>
        <n v="0.28999999999999998"/>
        <n v="0.14000000000000001"/>
        <n v="2.1800000000000002"/>
        <n v="1.94"/>
        <n v="0.73"/>
        <n v="7.0000000000000007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1"/>
    <n v="473"/>
    <n v="12"/>
    <x v="0"/>
  </r>
  <r>
    <x v="0"/>
    <n v="1"/>
    <n v="515"/>
    <n v="9"/>
    <x v="1"/>
  </r>
  <r>
    <x v="0"/>
    <n v="1"/>
    <n v="772"/>
    <n v="11"/>
    <x v="2"/>
  </r>
  <r>
    <x v="0"/>
    <n v="1"/>
    <n v="306"/>
    <n v="7"/>
    <x v="3"/>
  </r>
  <r>
    <x v="0"/>
    <n v="1"/>
    <n v="242"/>
    <n v="8"/>
    <x v="4"/>
  </r>
  <r>
    <x v="0"/>
    <n v="1"/>
    <n v="490"/>
    <n v="1"/>
    <x v="5"/>
  </r>
  <r>
    <x v="0"/>
    <n v="1"/>
    <n v="288"/>
    <n v="9"/>
    <x v="6"/>
  </r>
  <r>
    <x v="0"/>
    <n v="1"/>
    <n v="281"/>
    <n v="10"/>
    <x v="7"/>
  </r>
  <r>
    <x v="0"/>
    <n v="1"/>
    <n v="881"/>
    <n v="8"/>
    <x v="8"/>
  </r>
  <r>
    <x v="0"/>
    <n v="1"/>
    <n v="553"/>
    <n v="14"/>
    <x v="9"/>
  </r>
  <r>
    <x v="0"/>
    <n v="1"/>
    <n v="798"/>
    <n v="4"/>
    <x v="10"/>
  </r>
  <r>
    <x v="0"/>
    <n v="1"/>
    <n v="596"/>
    <n v="15"/>
    <x v="11"/>
  </r>
  <r>
    <x v="0"/>
    <n v="1"/>
    <n v="653"/>
    <n v="1"/>
    <x v="12"/>
  </r>
  <r>
    <x v="0"/>
    <n v="1"/>
    <n v="165"/>
    <n v="8"/>
    <x v="13"/>
  </r>
  <r>
    <x v="0"/>
    <n v="1"/>
    <n v="339"/>
    <n v="4"/>
    <x v="14"/>
  </r>
  <r>
    <x v="0"/>
    <n v="1"/>
    <n v="476"/>
    <n v="7"/>
    <x v="15"/>
  </r>
  <r>
    <x v="0"/>
    <n v="1"/>
    <n v="287"/>
    <n v="6"/>
    <x v="16"/>
  </r>
  <r>
    <x v="0"/>
    <n v="1"/>
    <n v="923"/>
    <n v="8"/>
    <x v="17"/>
  </r>
  <r>
    <x v="0"/>
    <n v="1"/>
    <n v="466"/>
    <n v="9"/>
    <x v="18"/>
  </r>
  <r>
    <x v="0"/>
    <n v="1"/>
    <n v="763"/>
    <n v="6"/>
    <x v="19"/>
  </r>
  <r>
    <x v="0"/>
    <n v="1"/>
    <n v="340"/>
    <n v="4"/>
    <x v="20"/>
  </r>
  <r>
    <x v="0"/>
    <n v="1"/>
    <n v="501"/>
    <n v="15"/>
    <x v="21"/>
  </r>
  <r>
    <x v="0"/>
    <n v="1"/>
    <n v="504"/>
    <n v="7"/>
    <x v="22"/>
  </r>
  <r>
    <x v="0"/>
    <n v="1"/>
    <n v="677"/>
    <n v="10"/>
    <x v="23"/>
  </r>
  <r>
    <x v="0"/>
    <n v="1"/>
    <n v="383"/>
    <n v="8"/>
    <x v="24"/>
  </r>
  <r>
    <x v="0"/>
    <n v="1"/>
    <n v="553"/>
    <n v="12"/>
    <x v="25"/>
  </r>
  <r>
    <x v="0"/>
    <n v="1"/>
    <n v="202"/>
    <n v="9"/>
    <x v="26"/>
  </r>
  <r>
    <x v="0"/>
    <n v="1"/>
    <n v="81"/>
    <n v="6"/>
    <x v="27"/>
  </r>
  <r>
    <x v="0"/>
    <n v="1"/>
    <n v="508"/>
    <n v="13"/>
    <x v="22"/>
  </r>
  <r>
    <x v="0"/>
    <n v="1"/>
    <n v="530"/>
    <n v="14"/>
    <x v="28"/>
  </r>
  <r>
    <x v="0"/>
    <n v="1"/>
    <n v="725"/>
    <n v="9"/>
    <x v="29"/>
  </r>
  <r>
    <x v="0"/>
    <n v="2"/>
    <n v="665"/>
    <n v="4"/>
    <x v="30"/>
  </r>
  <r>
    <x v="0"/>
    <n v="2"/>
    <n v="729"/>
    <n v="11"/>
    <x v="31"/>
  </r>
  <r>
    <x v="0"/>
    <n v="2"/>
    <n v="74"/>
    <n v="11"/>
    <x v="32"/>
  </r>
  <r>
    <x v="0"/>
    <n v="2"/>
    <n v="414"/>
    <n v="7"/>
    <x v="33"/>
  </r>
  <r>
    <x v="0"/>
    <n v="2"/>
    <n v="903"/>
    <n v="10"/>
    <x v="34"/>
  </r>
  <r>
    <x v="0"/>
    <n v="2"/>
    <n v="383"/>
    <n v="9"/>
    <x v="35"/>
  </r>
  <r>
    <x v="0"/>
    <n v="2"/>
    <n v="439"/>
    <n v="14"/>
    <x v="36"/>
  </r>
  <r>
    <x v="0"/>
    <n v="2"/>
    <n v="515"/>
    <n v="12"/>
    <x v="37"/>
  </r>
  <r>
    <x v="0"/>
    <n v="2"/>
    <n v="756"/>
    <n v="10"/>
    <x v="38"/>
  </r>
  <r>
    <x v="0"/>
    <n v="2"/>
    <n v="691"/>
    <n v="9"/>
    <x v="35"/>
  </r>
  <r>
    <x v="0"/>
    <n v="3"/>
    <n v="582"/>
    <n v="13"/>
    <x v="39"/>
  </r>
  <r>
    <x v="0"/>
    <n v="3"/>
    <n v="796"/>
    <n v="12"/>
    <x v="40"/>
  </r>
  <r>
    <x v="0"/>
    <n v="3"/>
    <n v="746"/>
    <n v="1"/>
    <x v="41"/>
  </r>
  <r>
    <x v="0"/>
    <n v="3"/>
    <n v="230"/>
    <n v="7"/>
    <x v="6"/>
  </r>
  <r>
    <x v="0"/>
    <n v="3"/>
    <n v="350"/>
    <n v="7"/>
    <x v="42"/>
  </r>
  <r>
    <x v="0"/>
    <n v="3"/>
    <n v="463"/>
    <n v="9"/>
    <x v="21"/>
  </r>
  <r>
    <x v="0"/>
    <n v="3"/>
    <n v="472"/>
    <n v="13"/>
    <x v="43"/>
  </r>
  <r>
    <x v="0"/>
    <n v="3"/>
    <n v="562"/>
    <n v="6"/>
    <x v="44"/>
  </r>
  <r>
    <x v="0"/>
    <n v="3"/>
    <n v="740"/>
    <n v="7"/>
    <x v="45"/>
  </r>
  <r>
    <x v="0"/>
    <n v="3"/>
    <n v="637"/>
    <n v="3"/>
    <x v="46"/>
  </r>
  <r>
    <x v="0"/>
    <n v="3"/>
    <n v="523"/>
    <n v="2"/>
    <x v="47"/>
  </r>
  <r>
    <x v="0"/>
    <n v="3"/>
    <n v="393"/>
    <n v="7"/>
    <x v="48"/>
  </r>
  <r>
    <x v="0"/>
    <n v="3"/>
    <n v="1007"/>
    <n v="3"/>
    <x v="49"/>
  </r>
  <r>
    <x v="0"/>
    <n v="3"/>
    <n v="433"/>
    <n v="9"/>
    <x v="6"/>
  </r>
  <r>
    <x v="0"/>
    <n v="3"/>
    <n v="1440"/>
    <n v="13"/>
    <x v="50"/>
  </r>
  <r>
    <x v="0"/>
    <n v="3"/>
    <n v="773"/>
    <n v="5"/>
    <x v="51"/>
  </r>
  <r>
    <x v="0"/>
    <n v="3"/>
    <n v="694"/>
    <n v="14"/>
    <x v="30"/>
  </r>
  <r>
    <x v="0"/>
    <n v="3"/>
    <n v="498"/>
    <n v="15"/>
    <x v="39"/>
  </r>
  <r>
    <x v="0"/>
    <n v="3"/>
    <n v="700"/>
    <n v="13"/>
    <x v="52"/>
  </r>
  <r>
    <x v="0"/>
    <n v="3"/>
    <n v="1134"/>
    <n v="10"/>
    <x v="53"/>
  </r>
  <r>
    <x v="0"/>
    <n v="3"/>
    <n v="191"/>
    <n v="7"/>
    <x v="54"/>
  </r>
  <r>
    <x v="0"/>
    <n v="3"/>
    <n v="329"/>
    <n v="7"/>
    <x v="0"/>
  </r>
  <r>
    <x v="0"/>
    <n v="3"/>
    <n v="1020"/>
    <n v="16"/>
    <x v="55"/>
  </r>
  <r>
    <x v="0"/>
    <n v="3"/>
    <n v="831"/>
    <n v="3"/>
    <x v="56"/>
  </r>
  <r>
    <x v="0"/>
    <n v="3"/>
    <n v="523"/>
    <n v="13"/>
    <x v="57"/>
  </r>
  <r>
    <x v="0"/>
    <n v="3"/>
    <n v="92"/>
    <n v="6"/>
    <x v="58"/>
  </r>
  <r>
    <x v="0"/>
    <n v="3"/>
    <n v="743"/>
    <n v="6"/>
    <x v="59"/>
  </r>
  <r>
    <x v="0"/>
    <n v="3"/>
    <n v="597"/>
    <n v="11"/>
    <x v="39"/>
  </r>
  <r>
    <x v="0"/>
    <n v="3"/>
    <n v="347"/>
    <n v="9"/>
    <x v="60"/>
  </r>
  <r>
    <x v="0"/>
    <n v="3"/>
    <n v="484"/>
    <n v="1"/>
    <x v="61"/>
  </r>
  <r>
    <x v="0"/>
    <n v="3"/>
    <n v="365"/>
    <n v="10"/>
    <x v="62"/>
  </r>
  <r>
    <x v="0"/>
    <n v="3"/>
    <n v="933"/>
    <n v="14"/>
    <x v="63"/>
  </r>
  <r>
    <x v="0"/>
    <n v="3"/>
    <n v="660"/>
    <n v="9"/>
    <x v="54"/>
  </r>
  <r>
    <x v="0"/>
    <n v="3"/>
    <n v="852"/>
    <n v="14"/>
    <x v="64"/>
  </r>
  <r>
    <x v="0"/>
    <n v="3"/>
    <n v="225"/>
    <n v="10"/>
    <x v="65"/>
  </r>
  <r>
    <x v="0"/>
    <n v="3"/>
    <n v="451"/>
    <n v="9"/>
    <x v="35"/>
  </r>
  <r>
    <x v="0"/>
    <n v="3"/>
    <n v="828"/>
    <n v="9"/>
    <x v="10"/>
  </r>
  <r>
    <x v="0"/>
    <n v="3"/>
    <n v="708"/>
    <n v="13"/>
    <x v="66"/>
  </r>
  <r>
    <x v="0"/>
    <n v="3"/>
    <n v="733"/>
    <n v="2"/>
    <x v="67"/>
  </r>
  <r>
    <x v="0"/>
    <n v="3"/>
    <n v="291"/>
    <n v="3"/>
    <x v="68"/>
  </r>
  <r>
    <x v="0"/>
    <n v="3"/>
    <n v="377"/>
    <n v="11"/>
    <x v="69"/>
  </r>
  <r>
    <x v="0"/>
    <n v="3"/>
    <n v="385"/>
    <n v="9"/>
    <x v="70"/>
  </r>
  <r>
    <x v="0"/>
    <n v="3"/>
    <n v="764"/>
    <n v="15"/>
    <x v="9"/>
  </r>
  <r>
    <x v="0"/>
    <n v="3"/>
    <n v="380"/>
    <n v="14"/>
    <x v="71"/>
  </r>
  <r>
    <x v="0"/>
    <n v="3"/>
    <n v="231"/>
    <n v="14"/>
    <x v="72"/>
  </r>
  <r>
    <x v="0"/>
    <n v="3"/>
    <n v="441"/>
    <n v="8"/>
    <x v="73"/>
  </r>
  <r>
    <x v="0"/>
    <n v="3"/>
    <n v="703"/>
    <n v="7"/>
    <x v="74"/>
  </r>
  <r>
    <x v="0"/>
    <n v="3"/>
    <n v="329"/>
    <n v="8"/>
    <x v="75"/>
  </r>
  <r>
    <x v="0"/>
    <n v="3"/>
    <n v="801"/>
    <n v="10"/>
    <x v="76"/>
  </r>
  <r>
    <x v="0"/>
    <n v="3"/>
    <n v="616"/>
    <n v="8"/>
    <x v="77"/>
  </r>
  <r>
    <x v="0"/>
    <n v="3"/>
    <n v="732"/>
    <n v="17"/>
    <x v="78"/>
  </r>
  <r>
    <x v="0"/>
    <n v="3"/>
    <n v="1087"/>
    <n v="10"/>
    <x v="79"/>
  </r>
  <r>
    <x v="0"/>
    <n v="3"/>
    <n v="329"/>
    <n v="11"/>
    <x v="80"/>
  </r>
  <r>
    <x v="0"/>
    <n v="3"/>
    <n v="538"/>
    <n v="7"/>
    <x v="81"/>
  </r>
  <r>
    <x v="0"/>
    <n v="3"/>
    <n v="367"/>
    <n v="13"/>
    <x v="82"/>
  </r>
  <r>
    <x v="0"/>
    <n v="3"/>
    <n v="628"/>
    <n v="20"/>
    <x v="83"/>
  </r>
  <r>
    <x v="0"/>
    <n v="3"/>
    <n v="489"/>
    <n v="17"/>
    <x v="84"/>
  </r>
  <r>
    <x v="0"/>
    <n v="3"/>
    <n v="345"/>
    <n v="15"/>
    <x v="85"/>
  </r>
  <r>
    <x v="0"/>
    <n v="3"/>
    <n v="588"/>
    <n v="10"/>
    <x v="84"/>
  </r>
  <r>
    <x v="0"/>
    <n v="3"/>
    <n v="361"/>
    <n v="7"/>
    <x v="3"/>
  </r>
  <r>
    <x v="1"/>
    <n v="1"/>
    <n v="547"/>
    <n v="11"/>
    <x v="86"/>
  </r>
  <r>
    <x v="1"/>
    <n v="1"/>
    <n v="877"/>
    <n v="7"/>
    <x v="87"/>
  </r>
  <r>
    <x v="1"/>
    <n v="1"/>
    <n v="1213"/>
    <n v="19"/>
    <x v="88"/>
  </r>
  <r>
    <x v="1"/>
    <n v="1"/>
    <n v="926"/>
    <n v="8"/>
    <x v="77"/>
  </r>
  <r>
    <x v="1"/>
    <n v="1"/>
    <n v="1596"/>
    <n v="19"/>
    <x v="89"/>
  </r>
  <r>
    <x v="1"/>
    <n v="1"/>
    <n v="1561"/>
    <n v="7"/>
    <x v="70"/>
  </r>
  <r>
    <x v="1"/>
    <n v="1"/>
    <n v="1226"/>
    <n v="14"/>
    <x v="90"/>
  </r>
  <r>
    <x v="1"/>
    <n v="1"/>
    <n v="1330"/>
    <n v="12"/>
    <x v="91"/>
  </r>
  <r>
    <x v="1"/>
    <n v="1"/>
    <n v="1180"/>
    <n v="18"/>
    <x v="84"/>
  </r>
  <r>
    <x v="1"/>
    <n v="1"/>
    <n v="1330"/>
    <n v="14"/>
    <x v="22"/>
  </r>
  <r>
    <x v="1"/>
    <n v="1"/>
    <n v="1707"/>
    <n v="12"/>
    <x v="92"/>
  </r>
  <r>
    <x v="1"/>
    <n v="1"/>
    <n v="947"/>
    <n v="12"/>
    <x v="51"/>
  </r>
  <r>
    <x v="1"/>
    <n v="1"/>
    <n v="667"/>
    <n v="11"/>
    <x v="93"/>
  </r>
  <r>
    <x v="1"/>
    <n v="1"/>
    <n v="891"/>
    <n v="11"/>
    <x v="94"/>
  </r>
  <r>
    <x v="1"/>
    <n v="1"/>
    <n v="401"/>
    <n v="5"/>
    <x v="95"/>
  </r>
  <r>
    <x v="1"/>
    <n v="1"/>
    <n v="1230"/>
    <n v="16"/>
    <x v="93"/>
  </r>
  <r>
    <x v="1"/>
    <n v="1"/>
    <n v="1181"/>
    <n v="13"/>
    <x v="41"/>
  </r>
  <r>
    <x v="1"/>
    <n v="1"/>
    <n v="1291"/>
    <n v="14"/>
    <x v="96"/>
  </r>
  <r>
    <x v="1"/>
    <n v="1"/>
    <n v="374"/>
    <n v="9"/>
    <x v="97"/>
  </r>
  <r>
    <x v="1"/>
    <n v="1"/>
    <n v="981"/>
    <n v="16"/>
    <x v="98"/>
  </r>
  <r>
    <x v="1"/>
    <n v="1"/>
    <n v="702"/>
    <n v="12"/>
    <x v="99"/>
  </r>
  <r>
    <x v="1"/>
    <n v="1"/>
    <n v="1326"/>
    <n v="12"/>
    <x v="100"/>
  </r>
  <r>
    <x v="1"/>
    <n v="1"/>
    <n v="947"/>
    <n v="12"/>
    <x v="101"/>
  </r>
  <r>
    <x v="1"/>
    <n v="1"/>
    <n v="1642"/>
    <n v="12"/>
    <x v="73"/>
  </r>
  <r>
    <x v="1"/>
    <n v="1"/>
    <n v="657"/>
    <n v="2"/>
    <x v="102"/>
  </r>
  <r>
    <x v="1"/>
    <n v="1"/>
    <n v="1199"/>
    <n v="12"/>
    <x v="103"/>
  </r>
  <r>
    <x v="1"/>
    <n v="1"/>
    <n v="1186"/>
    <n v="11"/>
    <x v="9"/>
  </r>
  <r>
    <x v="1"/>
    <n v="1"/>
    <n v="1097"/>
    <n v="23"/>
    <x v="74"/>
  </r>
  <r>
    <x v="1"/>
    <n v="1"/>
    <n v="537"/>
    <n v="5"/>
    <x v="9"/>
  </r>
  <r>
    <x v="1"/>
    <n v="1"/>
    <n v="1287"/>
    <n v="9"/>
    <x v="59"/>
  </r>
  <r>
    <x v="1"/>
    <n v="1"/>
    <n v="1175"/>
    <n v="9"/>
    <x v="104"/>
  </r>
  <r>
    <x v="1"/>
    <n v="1"/>
    <n v="1090"/>
    <n v="11"/>
    <x v="100"/>
  </r>
  <r>
    <x v="1"/>
    <n v="1"/>
    <n v="1946"/>
    <n v="18"/>
    <x v="105"/>
  </r>
  <r>
    <x v="1"/>
    <n v="1"/>
    <n v="1272"/>
    <n v="5"/>
    <x v="35"/>
  </r>
  <r>
    <x v="1"/>
    <n v="1"/>
    <n v="732"/>
    <n v="10"/>
    <x v="106"/>
  </r>
  <r>
    <x v="1"/>
    <n v="1"/>
    <n v="572"/>
    <n v="4"/>
    <x v="47"/>
  </r>
  <r>
    <x v="1"/>
    <n v="1"/>
    <n v="1434"/>
    <n v="14"/>
    <x v="58"/>
  </r>
  <r>
    <x v="1"/>
    <n v="1"/>
    <n v="132"/>
    <n v="16"/>
    <x v="107"/>
  </r>
  <r>
    <x v="1"/>
    <n v="1"/>
    <n v="1158"/>
    <n v="12"/>
    <x v="108"/>
  </r>
  <r>
    <x v="1"/>
    <n v="1"/>
    <n v="1117"/>
    <n v="18"/>
    <x v="109"/>
  </r>
  <r>
    <x v="1"/>
    <n v="1"/>
    <n v="1780"/>
    <n v="23"/>
    <x v="2"/>
  </r>
  <r>
    <x v="1"/>
    <n v="1"/>
    <n v="817"/>
    <n v="3"/>
    <x v="110"/>
  </r>
  <r>
    <x v="1"/>
    <n v="1"/>
    <n v="1379"/>
    <n v="14"/>
    <x v="51"/>
  </r>
  <r>
    <x v="1"/>
    <n v="1"/>
    <n v="886"/>
    <n v="16"/>
    <x v="111"/>
  </r>
  <r>
    <x v="1"/>
    <n v="1"/>
    <n v="1307"/>
    <n v="10"/>
    <x v="112"/>
  </r>
  <r>
    <x v="1"/>
    <n v="1"/>
    <n v="554"/>
    <n v="13"/>
    <x v="113"/>
  </r>
  <r>
    <x v="1"/>
    <n v="1"/>
    <n v="1698"/>
    <n v="13"/>
    <x v="35"/>
  </r>
  <r>
    <x v="1"/>
    <n v="1"/>
    <n v="1319"/>
    <n v="18"/>
    <x v="114"/>
  </r>
  <r>
    <x v="1"/>
    <n v="1"/>
    <n v="535"/>
    <n v="14"/>
    <x v="115"/>
  </r>
  <r>
    <x v="1"/>
    <n v="1"/>
    <n v="1430"/>
    <n v="1"/>
    <x v="25"/>
  </r>
  <r>
    <x v="1"/>
    <n v="1"/>
    <n v="656"/>
    <n v="14"/>
    <x v="35"/>
  </r>
  <r>
    <x v="1"/>
    <n v="1"/>
    <n v="1121"/>
    <n v="8"/>
    <x v="116"/>
  </r>
  <r>
    <x v="1"/>
    <n v="1"/>
    <n v="721"/>
    <n v="25"/>
    <x v="43"/>
  </r>
  <r>
    <x v="1"/>
    <n v="1"/>
    <n v="1086"/>
    <n v="18"/>
    <x v="17"/>
  </r>
  <r>
    <x v="1"/>
    <n v="1"/>
    <n v="2154"/>
    <n v="3"/>
    <x v="117"/>
  </r>
  <r>
    <x v="1"/>
    <n v="1"/>
    <n v="933"/>
    <n v="10"/>
    <x v="19"/>
  </r>
  <r>
    <x v="1"/>
    <n v="1"/>
    <n v="1182"/>
    <n v="9"/>
    <x v="58"/>
  </r>
  <r>
    <x v="1"/>
    <n v="1"/>
    <n v="1136"/>
    <n v="12"/>
    <x v="118"/>
  </r>
  <r>
    <x v="1"/>
    <n v="1"/>
    <n v="1209"/>
    <n v="15"/>
    <x v="119"/>
  </r>
  <r>
    <x v="1"/>
    <n v="1"/>
    <n v="1824"/>
    <n v="8"/>
    <x v="12"/>
  </r>
  <r>
    <x v="1"/>
    <n v="1"/>
    <n v="861"/>
    <n v="24"/>
    <x v="30"/>
  </r>
  <r>
    <x v="1"/>
    <n v="1"/>
    <n v="1325"/>
    <n v="12"/>
    <x v="1"/>
  </r>
  <r>
    <x v="1"/>
    <n v="1"/>
    <n v="1228"/>
    <n v="17"/>
    <x v="120"/>
  </r>
  <r>
    <x v="1"/>
    <n v="1"/>
    <n v="1265"/>
    <n v="14"/>
    <x v="121"/>
  </r>
  <r>
    <x v="1"/>
    <n v="1"/>
    <n v="665"/>
    <n v="11"/>
    <x v="71"/>
  </r>
  <r>
    <x v="1"/>
    <n v="1"/>
    <n v="895"/>
    <n v="17"/>
    <x v="122"/>
  </r>
  <r>
    <x v="1"/>
    <n v="1"/>
    <n v="1618"/>
    <n v="20"/>
    <x v="123"/>
  </r>
  <r>
    <x v="1"/>
    <n v="1"/>
    <n v="1288"/>
    <n v="9"/>
    <x v="124"/>
  </r>
  <r>
    <x v="1"/>
    <n v="1"/>
    <n v="1273"/>
    <n v="10"/>
    <x v="119"/>
  </r>
  <r>
    <x v="1"/>
    <n v="1"/>
    <n v="1074"/>
    <n v="18"/>
    <x v="125"/>
  </r>
  <r>
    <x v="1"/>
    <n v="1"/>
    <n v="1295"/>
    <n v="12"/>
    <x v="98"/>
  </r>
  <r>
    <x v="1"/>
    <n v="1"/>
    <n v="947"/>
    <n v="15"/>
    <x v="111"/>
  </r>
  <r>
    <x v="1"/>
    <n v="1"/>
    <n v="1393"/>
    <n v="6"/>
    <x v="116"/>
  </r>
  <r>
    <x v="1"/>
    <n v="1"/>
    <n v="1092"/>
    <n v="16"/>
    <x v="126"/>
  </r>
  <r>
    <x v="1"/>
    <n v="1"/>
    <n v="732"/>
    <n v="5"/>
    <x v="99"/>
  </r>
  <r>
    <x v="1"/>
    <n v="1"/>
    <n v="991"/>
    <n v="22"/>
    <x v="127"/>
  </r>
  <r>
    <x v="1"/>
    <n v="1"/>
    <n v="973"/>
    <n v="18"/>
    <x v="128"/>
  </r>
  <r>
    <x v="1"/>
    <n v="1"/>
    <n v="1113"/>
    <n v="18"/>
    <x v="47"/>
  </r>
  <r>
    <x v="1"/>
    <n v="1"/>
    <n v="2021"/>
    <n v="9"/>
    <x v="129"/>
  </r>
  <r>
    <x v="1"/>
    <n v="1"/>
    <n v="1156"/>
    <n v="14"/>
    <x v="71"/>
  </r>
  <r>
    <x v="1"/>
    <n v="1"/>
    <n v="1200"/>
    <n v="18"/>
    <x v="100"/>
  </r>
  <r>
    <x v="1"/>
    <n v="1"/>
    <n v="1048"/>
    <n v="14"/>
    <x v="130"/>
  </r>
  <r>
    <x v="1"/>
    <n v="1"/>
    <n v="772"/>
    <n v="11"/>
    <x v="22"/>
  </r>
  <r>
    <x v="1"/>
    <n v="1"/>
    <n v="1025"/>
    <n v="1"/>
    <x v="124"/>
  </r>
  <r>
    <x v="1"/>
    <n v="1"/>
    <n v="934"/>
    <n v="15"/>
    <x v="67"/>
  </r>
  <r>
    <x v="1"/>
    <n v="1"/>
    <n v="1232"/>
    <n v="10"/>
    <x v="127"/>
  </r>
  <r>
    <x v="1"/>
    <n v="1"/>
    <n v="1239"/>
    <n v="8"/>
    <x v="82"/>
  </r>
  <r>
    <x v="1"/>
    <n v="1"/>
    <n v="1853"/>
    <n v="16"/>
    <x v="131"/>
  </r>
  <r>
    <x v="1"/>
    <n v="1"/>
    <n v="1485"/>
    <n v="8"/>
    <x v="38"/>
  </r>
  <r>
    <x v="1"/>
    <n v="1"/>
    <n v="1137"/>
    <n v="4"/>
    <x v="100"/>
  </r>
  <r>
    <x v="1"/>
    <n v="1"/>
    <n v="954"/>
    <n v="14"/>
    <x v="58"/>
  </r>
  <r>
    <x v="1"/>
    <n v="1"/>
    <n v="1435"/>
    <n v="9"/>
    <x v="132"/>
  </r>
  <r>
    <x v="1"/>
    <n v="1"/>
    <n v="1438"/>
    <n v="24"/>
    <x v="133"/>
  </r>
  <r>
    <x v="1"/>
    <n v="1"/>
    <n v="1317"/>
    <n v="10"/>
    <x v="134"/>
  </r>
  <r>
    <x v="1"/>
    <n v="1"/>
    <n v="924"/>
    <n v="3"/>
    <x v="78"/>
  </r>
  <r>
    <x v="1"/>
    <n v="1"/>
    <n v="596"/>
    <n v="15"/>
    <x v="109"/>
  </r>
  <r>
    <x v="1"/>
    <n v="1"/>
    <n v="567"/>
    <n v="8"/>
    <x v="135"/>
  </r>
  <r>
    <x v="1"/>
    <n v="1"/>
    <n v="1061"/>
    <n v="10"/>
    <x v="40"/>
  </r>
  <r>
    <x v="1"/>
    <n v="1"/>
    <n v="300"/>
    <n v="8"/>
    <x v="125"/>
  </r>
  <r>
    <x v="1"/>
    <n v="1"/>
    <n v="980"/>
    <n v="12"/>
    <x v="72"/>
  </r>
  <r>
    <x v="1"/>
    <n v="1"/>
    <n v="1291"/>
    <n v="15"/>
    <x v="136"/>
  </r>
  <r>
    <x v="1"/>
    <n v="1"/>
    <n v="853"/>
    <n v="3"/>
    <x v="137"/>
  </r>
  <r>
    <x v="1"/>
    <n v="1"/>
    <n v="1240"/>
    <n v="21"/>
    <x v="138"/>
  </r>
  <r>
    <x v="1"/>
    <n v="1"/>
    <n v="909"/>
    <n v="27"/>
    <x v="139"/>
  </r>
  <r>
    <x v="1"/>
    <n v="1"/>
    <n v="1183"/>
    <n v="20"/>
    <x v="84"/>
  </r>
  <r>
    <x v="1"/>
    <n v="1"/>
    <n v="1316"/>
    <n v="12"/>
    <x v="140"/>
  </r>
  <r>
    <x v="1"/>
    <n v="1"/>
    <n v="808"/>
    <n v="5"/>
    <x v="11"/>
  </r>
  <r>
    <x v="1"/>
    <n v="1"/>
    <n v="1530"/>
    <n v="18"/>
    <x v="141"/>
  </r>
  <r>
    <x v="1"/>
    <n v="1"/>
    <n v="1052"/>
    <n v="15"/>
    <x v="70"/>
  </r>
  <r>
    <x v="1"/>
    <n v="1"/>
    <n v="979"/>
    <n v="18"/>
    <x v="142"/>
  </r>
  <r>
    <x v="1"/>
    <n v="1"/>
    <n v="984"/>
    <n v="20"/>
    <x v="143"/>
  </r>
  <r>
    <x v="1"/>
    <n v="1"/>
    <n v="1194"/>
    <n v="8"/>
    <x v="52"/>
  </r>
  <r>
    <x v="1"/>
    <n v="1"/>
    <n v="726"/>
    <n v="16"/>
    <x v="62"/>
  </r>
  <r>
    <x v="1"/>
    <n v="1"/>
    <n v="1047"/>
    <n v="12"/>
    <x v="144"/>
  </r>
  <r>
    <x v="1"/>
    <n v="1"/>
    <n v="559"/>
    <n v="12"/>
    <x v="22"/>
  </r>
  <r>
    <x v="1"/>
    <n v="1"/>
    <n v="754"/>
    <n v="6"/>
    <x v="48"/>
  </r>
  <r>
    <x v="1"/>
    <n v="1"/>
    <n v="1695"/>
    <n v="13"/>
    <x v="60"/>
  </r>
  <r>
    <x v="1"/>
    <n v="1"/>
    <n v="1072"/>
    <n v="11"/>
    <x v="106"/>
  </r>
  <r>
    <x v="1"/>
    <n v="1"/>
    <n v="1097"/>
    <n v="4"/>
    <x v="37"/>
  </r>
  <r>
    <x v="1"/>
    <n v="1"/>
    <n v="602"/>
    <n v="7"/>
    <x v="111"/>
  </r>
  <r>
    <x v="1"/>
    <n v="1"/>
    <n v="1026"/>
    <n v="11"/>
    <x v="47"/>
  </r>
  <r>
    <x v="1"/>
    <n v="1"/>
    <n v="1549"/>
    <n v="5"/>
    <x v="106"/>
  </r>
  <r>
    <x v="1"/>
    <n v="1"/>
    <n v="1446"/>
    <n v="22"/>
    <x v="107"/>
  </r>
  <r>
    <x v="1"/>
    <n v="1"/>
    <n v="1265"/>
    <n v="19"/>
    <x v="38"/>
  </r>
  <r>
    <x v="1"/>
    <n v="1"/>
    <n v="1040"/>
    <n v="19"/>
    <x v="54"/>
  </r>
  <r>
    <x v="1"/>
    <n v="1"/>
    <n v="709"/>
    <n v="11"/>
    <x v="145"/>
  </r>
  <r>
    <x v="1"/>
    <n v="1"/>
    <n v="1674"/>
    <n v="6"/>
    <x v="21"/>
  </r>
  <r>
    <x v="1"/>
    <n v="1"/>
    <n v="1108"/>
    <n v="14"/>
    <x v="37"/>
  </r>
  <r>
    <x v="1"/>
    <n v="1"/>
    <n v="1558"/>
    <n v="21"/>
    <x v="79"/>
  </r>
  <r>
    <x v="1"/>
    <n v="1"/>
    <n v="1473"/>
    <n v="15"/>
    <x v="146"/>
  </r>
  <r>
    <x v="1"/>
    <n v="1"/>
    <n v="894"/>
    <n v="11"/>
    <x v="147"/>
  </r>
  <r>
    <x v="1"/>
    <n v="1"/>
    <n v="817"/>
    <n v="7"/>
    <x v="148"/>
  </r>
  <r>
    <x v="1"/>
    <n v="1"/>
    <n v="565"/>
    <n v="23"/>
    <x v="149"/>
  </r>
  <r>
    <x v="1"/>
    <n v="1"/>
    <n v="2094"/>
    <n v="4"/>
    <x v="150"/>
  </r>
  <r>
    <x v="1"/>
    <n v="1"/>
    <n v="1102"/>
    <n v="12"/>
    <x v="31"/>
  </r>
  <r>
    <x v="1"/>
    <n v="1"/>
    <n v="872"/>
    <n v="13"/>
    <x v="145"/>
  </r>
  <r>
    <x v="1"/>
    <n v="1"/>
    <n v="1624"/>
    <n v="19"/>
    <x v="117"/>
  </r>
  <r>
    <x v="1"/>
    <n v="1"/>
    <n v="1109"/>
    <n v="14"/>
    <x v="92"/>
  </r>
  <r>
    <x v="1"/>
    <n v="1"/>
    <n v="1165"/>
    <n v="17"/>
    <x v="6"/>
  </r>
  <r>
    <x v="1"/>
    <n v="1"/>
    <n v="1295"/>
    <n v="12"/>
    <x v="151"/>
  </r>
  <r>
    <x v="1"/>
    <n v="1"/>
    <n v="1360"/>
    <n v="17"/>
    <x v="152"/>
  </r>
  <r>
    <x v="1"/>
    <n v="1"/>
    <n v="1115"/>
    <n v="12"/>
    <x v="153"/>
  </r>
  <r>
    <x v="1"/>
    <n v="1"/>
    <n v="1209"/>
    <n v="14"/>
    <x v="154"/>
  </r>
  <r>
    <x v="1"/>
    <n v="1"/>
    <n v="764"/>
    <n v="12"/>
    <x v="123"/>
  </r>
  <r>
    <x v="1"/>
    <n v="1"/>
    <n v="1245"/>
    <n v="9"/>
    <x v="155"/>
  </r>
  <r>
    <x v="1"/>
    <n v="1"/>
    <n v="927"/>
    <n v="14"/>
    <x v="156"/>
  </r>
  <r>
    <x v="1"/>
    <n v="1"/>
    <n v="897"/>
    <n v="7"/>
    <x v="130"/>
  </r>
  <r>
    <x v="1"/>
    <n v="1"/>
    <n v="894"/>
    <n v="7"/>
    <x v="44"/>
  </r>
  <r>
    <x v="1"/>
    <n v="1"/>
    <n v="1302"/>
    <n v="5"/>
    <x v="91"/>
  </r>
  <r>
    <x v="1"/>
    <n v="1"/>
    <n v="1251"/>
    <n v="18"/>
    <x v="43"/>
  </r>
  <r>
    <x v="1"/>
    <n v="1"/>
    <n v="1110"/>
    <n v="13"/>
    <x v="39"/>
  </r>
  <r>
    <x v="1"/>
    <n v="1"/>
    <n v="1768"/>
    <n v="24"/>
    <x v="48"/>
  </r>
  <r>
    <x v="1"/>
    <n v="1"/>
    <n v="1101"/>
    <n v="11"/>
    <x v="117"/>
  </r>
  <r>
    <x v="1"/>
    <n v="1"/>
    <n v="1178"/>
    <n v="16"/>
    <x v="157"/>
  </r>
  <r>
    <x v="1"/>
    <n v="1"/>
    <n v="982"/>
    <n v="6"/>
    <x v="72"/>
  </r>
  <r>
    <x v="1"/>
    <n v="1"/>
    <n v="1464"/>
    <n v="16"/>
    <x v="158"/>
  </r>
  <r>
    <x v="1"/>
    <n v="1"/>
    <n v="1187"/>
    <n v="12"/>
    <x v="159"/>
  </r>
  <r>
    <x v="1"/>
    <n v="1"/>
    <n v="978"/>
    <n v="18"/>
    <x v="45"/>
  </r>
  <r>
    <x v="1"/>
    <n v="1"/>
    <n v="894"/>
    <n v="19"/>
    <x v="160"/>
  </r>
  <r>
    <x v="1"/>
    <n v="1"/>
    <n v="479"/>
    <n v="13"/>
    <x v="49"/>
  </r>
  <r>
    <x v="1"/>
    <n v="1"/>
    <n v="1023"/>
    <n v="23"/>
    <x v="3"/>
  </r>
  <r>
    <x v="1"/>
    <n v="1"/>
    <n v="1525"/>
    <n v="19"/>
    <x v="161"/>
  </r>
  <r>
    <x v="1"/>
    <n v="2"/>
    <n v="1320"/>
    <n v="19"/>
    <x v="162"/>
  </r>
  <r>
    <x v="1"/>
    <n v="2"/>
    <n v="1789"/>
    <n v="9"/>
    <x v="163"/>
  </r>
  <r>
    <x v="1"/>
    <n v="2"/>
    <n v="1472"/>
    <n v="5"/>
    <x v="111"/>
  </r>
  <r>
    <x v="1"/>
    <n v="2"/>
    <n v="930"/>
    <n v="15"/>
    <x v="164"/>
  </r>
  <r>
    <x v="1"/>
    <n v="2"/>
    <n v="1320"/>
    <n v="20"/>
    <x v="165"/>
  </r>
  <r>
    <x v="1"/>
    <n v="2"/>
    <n v="1576"/>
    <n v="15"/>
    <x v="106"/>
  </r>
  <r>
    <x v="1"/>
    <n v="2"/>
    <n v="1375"/>
    <n v="16"/>
    <x v="166"/>
  </r>
  <r>
    <x v="1"/>
    <n v="2"/>
    <n v="1293"/>
    <n v="11"/>
    <x v="167"/>
  </r>
  <r>
    <x v="1"/>
    <n v="2"/>
    <n v="1232"/>
    <n v="16"/>
    <x v="54"/>
  </r>
  <r>
    <x v="1"/>
    <n v="2"/>
    <n v="1216"/>
    <n v="11"/>
    <x v="168"/>
  </r>
  <r>
    <x v="1"/>
    <n v="2"/>
    <n v="1102"/>
    <n v="2"/>
    <x v="169"/>
  </r>
  <r>
    <x v="1"/>
    <n v="2"/>
    <n v="1022"/>
    <n v="9"/>
    <x v="124"/>
  </r>
  <r>
    <x v="1"/>
    <n v="2"/>
    <n v="948"/>
    <n v="10"/>
    <x v="170"/>
  </r>
  <r>
    <x v="1"/>
    <n v="2"/>
    <n v="696"/>
    <n v="8"/>
    <x v="20"/>
  </r>
  <r>
    <x v="1"/>
    <n v="2"/>
    <n v="1499"/>
    <n v="14"/>
    <x v="171"/>
  </r>
  <r>
    <x v="1"/>
    <n v="2"/>
    <n v="810"/>
    <n v="3"/>
    <x v="172"/>
  </r>
  <r>
    <x v="1"/>
    <n v="2"/>
    <n v="841"/>
    <n v="22"/>
    <x v="33"/>
  </r>
  <r>
    <x v="1"/>
    <n v="2"/>
    <n v="1602"/>
    <n v="5"/>
    <x v="139"/>
  </r>
  <r>
    <x v="1"/>
    <n v="2"/>
    <n v="764"/>
    <n v="11"/>
    <x v="139"/>
  </r>
  <r>
    <x v="1"/>
    <n v="2"/>
    <n v="1064"/>
    <n v="13"/>
    <x v="82"/>
  </r>
  <r>
    <x v="1"/>
    <n v="2"/>
    <n v="1119"/>
    <n v="12"/>
    <x v="173"/>
  </r>
  <r>
    <x v="1"/>
    <n v="2"/>
    <n v="1383"/>
    <n v="4"/>
    <x v="79"/>
  </r>
  <r>
    <x v="1"/>
    <n v="2"/>
    <n v="994"/>
    <n v="13"/>
    <x v="174"/>
  </r>
  <r>
    <x v="1"/>
    <n v="2"/>
    <n v="1698"/>
    <n v="16"/>
    <x v="175"/>
  </r>
  <r>
    <x v="1"/>
    <n v="2"/>
    <n v="897"/>
    <n v="15"/>
    <x v="0"/>
  </r>
  <r>
    <x v="1"/>
    <n v="2"/>
    <n v="1812"/>
    <n v="18"/>
    <x v="141"/>
  </r>
  <r>
    <x v="1"/>
    <n v="2"/>
    <n v="715"/>
    <n v="19"/>
    <x v="21"/>
  </r>
  <r>
    <x v="1"/>
    <n v="2"/>
    <n v="1341"/>
    <n v="19"/>
    <x v="176"/>
  </r>
  <r>
    <x v="1"/>
    <n v="2"/>
    <n v="1665"/>
    <n v="15"/>
    <x v="63"/>
  </r>
  <r>
    <x v="1"/>
    <n v="2"/>
    <n v="1494"/>
    <n v="10"/>
    <x v="74"/>
  </r>
  <r>
    <x v="1"/>
    <n v="2"/>
    <n v="1014"/>
    <n v="15"/>
    <x v="41"/>
  </r>
  <r>
    <x v="1"/>
    <n v="2"/>
    <n v="1169"/>
    <n v="19"/>
    <x v="177"/>
  </r>
  <r>
    <x v="1"/>
    <n v="2"/>
    <n v="1198"/>
    <n v="20"/>
    <x v="72"/>
  </r>
  <r>
    <x v="1"/>
    <n v="2"/>
    <n v="1731"/>
    <n v="6"/>
    <x v="150"/>
  </r>
  <r>
    <x v="1"/>
    <n v="2"/>
    <n v="662"/>
    <n v="5"/>
    <x v="25"/>
  </r>
  <r>
    <x v="1"/>
    <n v="2"/>
    <n v="1104"/>
    <n v="10"/>
    <x v="11"/>
  </r>
  <r>
    <x v="1"/>
    <n v="2"/>
    <n v="1203"/>
    <n v="18"/>
    <x v="141"/>
  </r>
  <r>
    <x v="1"/>
    <n v="2"/>
    <n v="901"/>
    <n v="11"/>
    <x v="61"/>
  </r>
  <r>
    <x v="1"/>
    <n v="2"/>
    <n v="1315"/>
    <n v="13"/>
    <x v="62"/>
  </r>
  <r>
    <x v="1"/>
    <n v="2"/>
    <n v="1302"/>
    <n v="5"/>
    <x v="105"/>
  </r>
  <r>
    <x v="1"/>
    <n v="2"/>
    <n v="1755"/>
    <n v="13"/>
    <x v="12"/>
  </r>
  <r>
    <x v="1"/>
    <n v="2"/>
    <n v="1277"/>
    <n v="14"/>
    <x v="178"/>
  </r>
  <r>
    <x v="1"/>
    <n v="2"/>
    <n v="1132"/>
    <n v="18"/>
    <x v="174"/>
  </r>
  <r>
    <x v="1"/>
    <n v="2"/>
    <n v="1678"/>
    <n v="10"/>
    <x v="173"/>
  </r>
  <r>
    <x v="1"/>
    <n v="2"/>
    <n v="1210"/>
    <n v="8"/>
    <x v="136"/>
  </r>
  <r>
    <x v="1"/>
    <n v="2"/>
    <n v="688"/>
    <n v="26"/>
    <x v="179"/>
  </r>
  <r>
    <x v="1"/>
    <n v="2"/>
    <n v="635"/>
    <n v="4"/>
    <x v="119"/>
  </r>
  <r>
    <x v="1"/>
    <n v="2"/>
    <n v="725"/>
    <n v="10"/>
    <x v="146"/>
  </r>
  <r>
    <x v="1"/>
    <n v="2"/>
    <n v="945"/>
    <n v="16"/>
    <x v="180"/>
  </r>
  <r>
    <x v="1"/>
    <n v="2"/>
    <n v="818"/>
    <n v="12"/>
    <x v="181"/>
  </r>
  <r>
    <x v="1"/>
    <n v="2"/>
    <n v="1025"/>
    <n v="13"/>
    <x v="105"/>
  </r>
  <r>
    <x v="1"/>
    <n v="2"/>
    <n v="1555"/>
    <n v="6"/>
    <x v="135"/>
  </r>
  <r>
    <x v="1"/>
    <n v="2"/>
    <n v="379"/>
    <n v="10"/>
    <x v="182"/>
  </r>
  <r>
    <x v="1"/>
    <n v="2"/>
    <n v="1229"/>
    <n v="18"/>
    <x v="17"/>
  </r>
  <r>
    <x v="1"/>
    <n v="2"/>
    <n v="1381"/>
    <n v="17"/>
    <x v="48"/>
  </r>
  <r>
    <x v="1"/>
    <n v="2"/>
    <n v="514"/>
    <n v="11"/>
    <x v="110"/>
  </r>
  <r>
    <x v="1"/>
    <n v="2"/>
    <n v="1256"/>
    <n v="16"/>
    <x v="74"/>
  </r>
  <r>
    <x v="1"/>
    <n v="2"/>
    <n v="1631"/>
    <n v="12"/>
    <x v="147"/>
  </r>
  <r>
    <x v="1"/>
    <n v="2"/>
    <n v="1094"/>
    <n v="12"/>
    <x v="183"/>
  </r>
  <r>
    <x v="1"/>
    <n v="2"/>
    <n v="1412"/>
    <n v="17"/>
    <x v="184"/>
  </r>
  <r>
    <x v="1"/>
    <n v="2"/>
    <n v="1041"/>
    <n v="6"/>
    <x v="148"/>
  </r>
  <r>
    <x v="1"/>
    <n v="2"/>
    <n v="1077"/>
    <n v="7"/>
    <x v="185"/>
  </r>
  <r>
    <x v="1"/>
    <n v="2"/>
    <n v="1355"/>
    <n v="15"/>
    <x v="14"/>
  </r>
  <r>
    <x v="1"/>
    <n v="2"/>
    <n v="1452"/>
    <n v="15"/>
    <x v="186"/>
  </r>
  <r>
    <x v="1"/>
    <n v="2"/>
    <n v="1204"/>
    <n v="17"/>
    <x v="12"/>
  </r>
  <r>
    <x v="1"/>
    <n v="2"/>
    <n v="1615"/>
    <n v="26"/>
    <x v="116"/>
  </r>
  <r>
    <x v="1"/>
    <n v="2"/>
    <n v="970"/>
    <n v="14"/>
    <x v="72"/>
  </r>
  <r>
    <x v="1"/>
    <n v="2"/>
    <n v="619"/>
    <n v="19"/>
    <x v="127"/>
  </r>
  <r>
    <x v="1"/>
    <n v="2"/>
    <n v="848"/>
    <n v="22"/>
    <x v="31"/>
  </r>
  <r>
    <x v="1"/>
    <n v="2"/>
    <n v="1110"/>
    <n v="11"/>
    <x v="51"/>
  </r>
  <r>
    <x v="1"/>
    <n v="2"/>
    <n v="1255"/>
    <n v="21"/>
    <x v="172"/>
  </r>
  <r>
    <x v="1"/>
    <n v="2"/>
    <n v="1532"/>
    <n v="12"/>
    <x v="57"/>
  </r>
  <r>
    <x v="1"/>
    <n v="2"/>
    <n v="873"/>
    <n v="15"/>
    <x v="187"/>
  </r>
  <r>
    <x v="1"/>
    <n v="2"/>
    <n v="870"/>
    <n v="22"/>
    <x v="141"/>
  </r>
  <r>
    <x v="1"/>
    <n v="2"/>
    <n v="2016"/>
    <n v="18"/>
    <x v="104"/>
  </r>
  <r>
    <x v="1"/>
    <n v="2"/>
    <n v="1014"/>
    <n v="3"/>
    <x v="188"/>
  </r>
  <r>
    <x v="1"/>
    <n v="3"/>
    <n v="1385"/>
    <n v="16"/>
    <x v="63"/>
  </r>
  <r>
    <x v="1"/>
    <n v="3"/>
    <n v="1292"/>
    <n v="20"/>
    <x v="41"/>
  </r>
  <r>
    <x v="1"/>
    <n v="3"/>
    <n v="920"/>
    <n v="5"/>
    <x v="15"/>
  </r>
  <r>
    <x v="1"/>
    <n v="3"/>
    <n v="1685"/>
    <n v="15"/>
    <x v="141"/>
  </r>
  <r>
    <x v="1"/>
    <n v="3"/>
    <n v="419"/>
    <n v="9"/>
    <x v="189"/>
  </r>
  <r>
    <x v="1"/>
    <n v="3"/>
    <n v="1477"/>
    <n v="10"/>
    <x v="190"/>
  </r>
  <r>
    <x v="1"/>
    <n v="3"/>
    <n v="677"/>
    <n v="10"/>
    <x v="148"/>
  </r>
  <r>
    <x v="1"/>
    <n v="3"/>
    <n v="879"/>
    <n v="17"/>
    <x v="191"/>
  </r>
  <r>
    <x v="1"/>
    <n v="3"/>
    <n v="1146"/>
    <n v="8"/>
    <x v="192"/>
  </r>
  <r>
    <x v="1"/>
    <n v="3"/>
    <n v="1256"/>
    <n v="11"/>
    <x v="130"/>
  </r>
  <r>
    <x v="1"/>
    <n v="3"/>
    <n v="950"/>
    <n v="13"/>
    <x v="193"/>
  </r>
  <r>
    <x v="1"/>
    <n v="3"/>
    <n v="584"/>
    <n v="12"/>
    <x v="194"/>
  </r>
  <r>
    <x v="1"/>
    <n v="3"/>
    <n v="1514"/>
    <n v="7"/>
    <x v="118"/>
  </r>
  <r>
    <x v="1"/>
    <n v="3"/>
    <n v="1686"/>
    <n v="18"/>
    <x v="141"/>
  </r>
  <r>
    <x v="1"/>
    <n v="3"/>
    <n v="832"/>
    <n v="14"/>
    <x v="175"/>
  </r>
  <r>
    <x v="1"/>
    <n v="3"/>
    <n v="1104"/>
    <n v="14"/>
    <x v="32"/>
  </r>
  <r>
    <x v="1"/>
    <n v="3"/>
    <n v="1022"/>
    <n v="16"/>
    <x v="195"/>
  </r>
  <r>
    <x v="1"/>
    <n v="3"/>
    <n v="1859"/>
    <n v="21"/>
    <x v="141"/>
  </r>
  <r>
    <x v="1"/>
    <n v="3"/>
    <n v="1181"/>
    <n v="8"/>
    <x v="168"/>
  </r>
  <r>
    <x v="1"/>
    <n v="3"/>
    <n v="856"/>
    <n v="10"/>
    <x v="97"/>
  </r>
  <r>
    <x v="1"/>
    <n v="3"/>
    <n v="865"/>
    <n v="21"/>
    <x v="9"/>
  </r>
  <r>
    <x v="1"/>
    <n v="3"/>
    <n v="1081"/>
    <n v="21"/>
    <x v="174"/>
  </r>
  <r>
    <x v="1"/>
    <n v="3"/>
    <n v="872"/>
    <n v="10"/>
    <x v="150"/>
  </r>
  <r>
    <x v="1"/>
    <n v="3"/>
    <n v="1292"/>
    <n v="13"/>
    <x v="38"/>
  </r>
  <r>
    <x v="1"/>
    <n v="3"/>
    <n v="846"/>
    <n v="10"/>
    <x v="194"/>
  </r>
  <r>
    <x v="1"/>
    <n v="3"/>
    <n v="1020"/>
    <n v="7"/>
    <x v="148"/>
  </r>
  <r>
    <x v="1"/>
    <n v="3"/>
    <n v="1045"/>
    <n v="14"/>
    <x v="88"/>
  </r>
  <r>
    <x v="1"/>
    <n v="3"/>
    <n v="1088"/>
    <n v="9"/>
    <x v="196"/>
  </r>
  <r>
    <x v="1"/>
    <n v="3"/>
    <n v="1394"/>
    <n v="17"/>
    <x v="96"/>
  </r>
  <r>
    <x v="1"/>
    <n v="3"/>
    <n v="1128"/>
    <n v="9"/>
    <x v="159"/>
  </r>
  <r>
    <x v="1"/>
    <n v="3"/>
    <n v="484"/>
    <n v="11"/>
    <x v="197"/>
  </r>
  <r>
    <x v="1"/>
    <n v="3"/>
    <n v="1945"/>
    <n v="8"/>
    <x v="55"/>
  </r>
  <r>
    <x v="1"/>
    <n v="3"/>
    <n v="1343"/>
    <n v="19"/>
    <x v="198"/>
  </r>
  <r>
    <x v="1"/>
    <n v="3"/>
    <n v="1304"/>
    <n v="15"/>
    <x v="188"/>
  </r>
  <r>
    <x v="1"/>
    <n v="3"/>
    <n v="934"/>
    <n v="9"/>
    <x v="44"/>
  </r>
  <r>
    <x v="1"/>
    <n v="3"/>
    <n v="1022"/>
    <n v="8"/>
    <x v="199"/>
  </r>
  <r>
    <x v="1"/>
    <n v="3"/>
    <n v="1171"/>
    <n v="10"/>
    <x v="176"/>
  </r>
  <r>
    <x v="1"/>
    <n v="3"/>
    <n v="1090"/>
    <n v="15"/>
    <x v="65"/>
  </r>
  <r>
    <x v="1"/>
    <n v="3"/>
    <n v="448"/>
    <n v="10"/>
    <x v="109"/>
  </r>
  <r>
    <x v="1"/>
    <n v="3"/>
    <n v="721"/>
    <n v="13"/>
    <x v="200"/>
  </r>
  <r>
    <x v="1"/>
    <n v="3"/>
    <n v="962"/>
    <n v="15"/>
    <x v="131"/>
  </r>
  <r>
    <x v="1"/>
    <n v="3"/>
    <n v="960"/>
    <n v="11"/>
    <x v="194"/>
  </r>
  <r>
    <x v="1"/>
    <n v="3"/>
    <n v="1621"/>
    <n v="16"/>
    <x v="79"/>
  </r>
  <r>
    <x v="1"/>
    <n v="3"/>
    <n v="1290"/>
    <n v="6"/>
    <x v="192"/>
  </r>
  <r>
    <x v="1"/>
    <n v="3"/>
    <n v="1279"/>
    <n v="12"/>
    <x v="88"/>
  </r>
  <r>
    <x v="1"/>
    <n v="3"/>
    <n v="1227"/>
    <n v="17"/>
    <x v="201"/>
  </r>
  <r>
    <x v="1"/>
    <n v="3"/>
    <n v="929"/>
    <n v="10"/>
    <x v="164"/>
  </r>
  <r>
    <x v="1"/>
    <n v="3"/>
    <n v="902"/>
    <n v="11"/>
    <x v="202"/>
  </r>
  <r>
    <x v="1"/>
    <n v="3"/>
    <n v="1108"/>
    <n v="10"/>
    <x v="26"/>
  </r>
  <r>
    <x v="1"/>
    <n v="3"/>
    <n v="1466"/>
    <n v="16"/>
    <x v="65"/>
  </r>
  <r>
    <x v="1"/>
    <n v="3"/>
    <n v="1259"/>
    <n v="20"/>
    <x v="106"/>
  </r>
  <r>
    <x v="1"/>
    <n v="3"/>
    <n v="657"/>
    <n v="17"/>
    <x v="99"/>
  </r>
  <r>
    <x v="1"/>
    <n v="3"/>
    <n v="824"/>
    <n v="16"/>
    <x v="51"/>
  </r>
  <r>
    <x v="1"/>
    <n v="3"/>
    <n v="1205"/>
    <n v="13"/>
    <x v="122"/>
  </r>
  <r>
    <x v="1"/>
    <n v="3"/>
    <n v="1232"/>
    <n v="12"/>
    <x v="102"/>
  </r>
  <r>
    <x v="1"/>
    <n v="3"/>
    <n v="1397"/>
    <n v="11"/>
    <x v="36"/>
  </r>
  <r>
    <x v="1"/>
    <n v="3"/>
    <n v="1396"/>
    <n v="10"/>
    <x v="114"/>
  </r>
  <r>
    <x v="1"/>
    <n v="3"/>
    <n v="1105"/>
    <n v="13"/>
    <x v="1"/>
  </r>
  <r>
    <x v="1"/>
    <n v="3"/>
    <n v="1577"/>
    <n v="13"/>
    <x v="176"/>
  </r>
  <r>
    <x v="1"/>
    <n v="3"/>
    <n v="1407"/>
    <n v="12"/>
    <x v="180"/>
  </r>
  <r>
    <x v="1"/>
    <n v="3"/>
    <n v="1760"/>
    <n v="12"/>
    <x v="170"/>
  </r>
  <r>
    <x v="1"/>
    <n v="3"/>
    <n v="828"/>
    <n v="19"/>
    <x v="36"/>
  </r>
  <r>
    <x v="1"/>
    <n v="3"/>
    <n v="1249"/>
    <n v="11"/>
    <x v="12"/>
  </r>
  <r>
    <x v="1"/>
    <n v="3"/>
    <n v="1019"/>
    <n v="20"/>
    <x v="167"/>
  </r>
  <r>
    <x v="1"/>
    <n v="3"/>
    <n v="805"/>
    <n v="16"/>
    <x v="72"/>
  </r>
  <r>
    <x v="1"/>
    <n v="3"/>
    <n v="510"/>
    <n v="12"/>
    <x v="203"/>
  </r>
  <r>
    <x v="1"/>
    <n v="3"/>
    <n v="1291"/>
    <n v="13"/>
    <x v="137"/>
  </r>
  <r>
    <x v="1"/>
    <n v="3"/>
    <n v="823"/>
    <n v="5"/>
    <x v="158"/>
  </r>
  <r>
    <x v="1"/>
    <n v="3"/>
    <n v="1783"/>
    <n v="7"/>
    <x v="169"/>
  </r>
  <r>
    <x v="1"/>
    <n v="3"/>
    <n v="556"/>
    <n v="15"/>
    <x v="204"/>
  </r>
  <r>
    <x v="1"/>
    <n v="3"/>
    <n v="1474"/>
    <n v="17"/>
    <x v="141"/>
  </r>
  <r>
    <x v="1"/>
    <n v="3"/>
    <n v="1255"/>
    <n v="15"/>
    <x v="32"/>
  </r>
  <r>
    <x v="1"/>
    <n v="3"/>
    <n v="1619"/>
    <n v="17"/>
    <x v="72"/>
  </r>
  <r>
    <x v="1"/>
    <n v="3"/>
    <n v="1802"/>
    <n v="13"/>
    <x v="40"/>
  </r>
  <r>
    <x v="1"/>
    <n v="3"/>
    <n v="960"/>
    <n v="11"/>
    <x v="64"/>
  </r>
  <r>
    <x v="1"/>
    <n v="3"/>
    <n v="1214"/>
    <n v="11"/>
    <x v="179"/>
  </r>
  <r>
    <x v="1"/>
    <n v="3"/>
    <n v="1216"/>
    <n v="17"/>
    <x v="104"/>
  </r>
  <r>
    <x v="1"/>
    <n v="3"/>
    <n v="1397"/>
    <n v="1"/>
    <x v="20"/>
  </r>
  <r>
    <x v="1"/>
    <n v="3"/>
    <n v="891"/>
    <n v="25"/>
    <x v="138"/>
  </r>
  <r>
    <x v="1"/>
    <n v="3"/>
    <n v="1371"/>
    <n v="13"/>
    <x v="193"/>
  </r>
  <r>
    <x v="1"/>
    <n v="3"/>
    <n v="1818"/>
    <n v="8"/>
    <x v="205"/>
  </r>
  <r>
    <x v="1"/>
    <n v="3"/>
    <n v="1311"/>
    <n v="3"/>
    <x v="121"/>
  </r>
  <r>
    <x v="1"/>
    <n v="3"/>
    <n v="1825"/>
    <n v="17"/>
    <x v="98"/>
  </r>
  <r>
    <x v="1"/>
    <n v="3"/>
    <n v="1812"/>
    <n v="15"/>
    <x v="180"/>
  </r>
  <r>
    <x v="1"/>
    <n v="3"/>
    <n v="948"/>
    <n v="14"/>
    <x v="44"/>
  </r>
  <r>
    <x v="1"/>
    <n v="3"/>
    <n v="1319"/>
    <n v="8"/>
    <x v="206"/>
  </r>
  <r>
    <x v="1"/>
    <n v="3"/>
    <n v="1299"/>
    <n v="19"/>
    <x v="141"/>
  </r>
  <r>
    <x v="1"/>
    <n v="3"/>
    <n v="814"/>
    <n v="14"/>
    <x v="72"/>
  </r>
  <r>
    <x v="1"/>
    <n v="3"/>
    <n v="1031"/>
    <n v="12"/>
    <x v="200"/>
  </r>
  <r>
    <x v="1"/>
    <n v="3"/>
    <n v="1044"/>
    <n v="6"/>
    <x v="68"/>
  </r>
  <r>
    <x v="1"/>
    <n v="3"/>
    <n v="1760"/>
    <n v="10"/>
    <x v="207"/>
  </r>
  <r>
    <x v="1"/>
    <n v="3"/>
    <n v="1564"/>
    <n v="13"/>
    <x v="169"/>
  </r>
  <r>
    <x v="1"/>
    <n v="3"/>
    <n v="788"/>
    <n v="14"/>
    <x v="97"/>
  </r>
  <r>
    <x v="1"/>
    <n v="3"/>
    <n v="1476"/>
    <n v="11"/>
    <x v="208"/>
  </r>
  <r>
    <x v="1"/>
    <n v="3"/>
    <n v="1022"/>
    <n v="9"/>
    <x v="209"/>
  </r>
  <r>
    <x v="1"/>
    <n v="3"/>
    <n v="979"/>
    <n v="11"/>
    <x v="134"/>
  </r>
  <r>
    <x v="1"/>
    <n v="3"/>
    <n v="1387"/>
    <n v="15"/>
    <x v="60"/>
  </r>
  <r>
    <x v="1"/>
    <n v="3"/>
    <n v="1332"/>
    <n v="13"/>
    <x v="141"/>
  </r>
  <r>
    <x v="1"/>
    <n v="3"/>
    <n v="1241"/>
    <n v="7"/>
    <x v="129"/>
  </r>
  <r>
    <x v="1"/>
    <n v="3"/>
    <n v="1020"/>
    <n v="5"/>
    <x v="108"/>
  </r>
  <r>
    <x v="1"/>
    <n v="3"/>
    <n v="918"/>
    <n v="8"/>
    <x v="210"/>
  </r>
  <r>
    <x v="1"/>
    <n v="3"/>
    <n v="1204"/>
    <n v="5"/>
    <x v="108"/>
  </r>
  <r>
    <x v="1"/>
    <n v="3"/>
    <n v="1373"/>
    <n v="10"/>
    <x v="106"/>
  </r>
  <r>
    <x v="1"/>
    <n v="3"/>
    <n v="1243"/>
    <n v="14"/>
    <x v="211"/>
  </r>
  <r>
    <x v="1"/>
    <n v="3"/>
    <n v="1552"/>
    <n v="1"/>
    <x v="73"/>
  </r>
  <r>
    <x v="1"/>
    <n v="3"/>
    <n v="1415"/>
    <n v="10"/>
    <x v="193"/>
  </r>
  <r>
    <x v="1"/>
    <n v="3"/>
    <n v="1346"/>
    <n v="11"/>
    <x v="212"/>
  </r>
  <r>
    <x v="1"/>
    <n v="3"/>
    <n v="1018"/>
    <n v="16"/>
    <x v="141"/>
  </r>
  <r>
    <x v="1"/>
    <n v="3"/>
    <n v="1009"/>
    <n v="10"/>
    <x v="188"/>
  </r>
  <r>
    <x v="1"/>
    <n v="3"/>
    <n v="1287"/>
    <n v="13"/>
    <x v="73"/>
  </r>
  <r>
    <x v="1"/>
    <n v="3"/>
    <n v="1654"/>
    <n v="15"/>
    <x v="213"/>
  </r>
  <r>
    <x v="1"/>
    <n v="3"/>
    <n v="1324"/>
    <n v="8"/>
    <x v="14"/>
  </r>
  <r>
    <x v="1"/>
    <n v="3"/>
    <n v="809"/>
    <n v="19"/>
    <x v="36"/>
  </r>
  <r>
    <x v="1"/>
    <n v="3"/>
    <n v="1457"/>
    <n v="21"/>
    <x v="19"/>
  </r>
  <r>
    <x v="1"/>
    <n v="3"/>
    <n v="986"/>
    <n v="19"/>
    <x v="214"/>
  </r>
  <r>
    <x v="1"/>
    <n v="3"/>
    <n v="1824"/>
    <n v="11"/>
    <x v="12"/>
  </r>
  <r>
    <x v="1"/>
    <n v="3"/>
    <n v="1698"/>
    <n v="12"/>
    <x v="215"/>
  </r>
  <r>
    <x v="1"/>
    <n v="3"/>
    <n v="1119"/>
    <n v="10"/>
    <x v="54"/>
  </r>
  <r>
    <x v="1"/>
    <n v="3"/>
    <n v="680"/>
    <n v="13"/>
    <x v="216"/>
  </r>
  <r>
    <x v="1"/>
    <n v="3"/>
    <n v="1242"/>
    <n v="18"/>
    <x v="122"/>
  </r>
  <r>
    <x v="1"/>
    <n v="3"/>
    <n v="1294"/>
    <n v="9"/>
    <x v="217"/>
  </r>
  <r>
    <x v="1"/>
    <n v="3"/>
    <n v="958"/>
    <n v="16"/>
    <x v="88"/>
  </r>
  <r>
    <x v="1"/>
    <n v="3"/>
    <n v="1704"/>
    <n v="6"/>
    <x v="125"/>
  </r>
  <r>
    <x v="1"/>
    <n v="3"/>
    <n v="1028"/>
    <n v="7"/>
    <x v="218"/>
  </r>
  <r>
    <x v="1"/>
    <n v="3"/>
    <n v="1127"/>
    <n v="7"/>
    <x v="219"/>
  </r>
  <r>
    <x v="1"/>
    <n v="3"/>
    <n v="979"/>
    <n v="8"/>
    <x v="69"/>
  </r>
  <r>
    <x v="1"/>
    <n v="3"/>
    <n v="427"/>
    <n v="15"/>
    <x v="130"/>
  </r>
  <r>
    <x v="1"/>
    <n v="3"/>
    <n v="1731"/>
    <n v="12"/>
    <x v="8"/>
  </r>
  <r>
    <x v="1"/>
    <n v="3"/>
    <n v="1058"/>
    <n v="17"/>
    <x v="187"/>
  </r>
  <r>
    <x v="1"/>
    <n v="3"/>
    <n v="1070"/>
    <n v="16"/>
    <x v="206"/>
  </r>
  <r>
    <x v="1"/>
    <n v="3"/>
    <n v="1354"/>
    <n v="16"/>
    <x v="208"/>
  </r>
  <r>
    <x v="1"/>
    <n v="3"/>
    <n v="1050"/>
    <n v="8"/>
    <x v="167"/>
  </r>
  <r>
    <x v="1"/>
    <n v="3"/>
    <n v="1095"/>
    <n v="25"/>
    <x v="116"/>
  </r>
  <r>
    <x v="1"/>
    <n v="3"/>
    <n v="1198"/>
    <n v="13"/>
    <x v="201"/>
  </r>
  <r>
    <x v="1"/>
    <n v="3"/>
    <n v="1241"/>
    <n v="3"/>
    <x v="220"/>
  </r>
  <r>
    <x v="1"/>
    <n v="3"/>
    <n v="1156"/>
    <n v="2"/>
    <x v="192"/>
  </r>
  <r>
    <x v="1"/>
    <n v="3"/>
    <n v="1142"/>
    <n v="12"/>
    <x v="159"/>
  </r>
  <r>
    <x v="1"/>
    <n v="3"/>
    <n v="1072"/>
    <n v="11"/>
    <x v="145"/>
  </r>
  <r>
    <x v="1"/>
    <n v="3"/>
    <n v="1060"/>
    <n v="12"/>
    <x v="59"/>
  </r>
  <r>
    <x v="1"/>
    <n v="3"/>
    <n v="1216"/>
    <n v="4"/>
    <x v="58"/>
  </r>
  <r>
    <x v="1"/>
    <n v="3"/>
    <n v="1261"/>
    <n v="6"/>
    <x v="221"/>
  </r>
  <r>
    <x v="1"/>
    <n v="3"/>
    <n v="961"/>
    <n v="15"/>
    <x v="64"/>
  </r>
  <r>
    <x v="1"/>
    <n v="3"/>
    <n v="1682"/>
    <n v="1"/>
    <x v="21"/>
  </r>
  <r>
    <x v="1"/>
    <n v="3"/>
    <n v="1023"/>
    <n v="9"/>
    <x v="102"/>
  </r>
  <r>
    <x v="1"/>
    <n v="3"/>
    <n v="470"/>
    <n v="11"/>
    <x v="34"/>
  </r>
  <r>
    <x v="1"/>
    <n v="3"/>
    <n v="497"/>
    <n v="15"/>
    <x v="106"/>
  </r>
  <r>
    <x v="1"/>
    <n v="3"/>
    <n v="593"/>
    <n v="8"/>
    <x v="136"/>
  </r>
  <r>
    <x v="1"/>
    <n v="3"/>
    <n v="1035"/>
    <n v="7"/>
    <x v="60"/>
  </r>
  <r>
    <x v="1"/>
    <n v="3"/>
    <n v="1369"/>
    <n v="14"/>
    <x v="71"/>
  </r>
  <r>
    <x v="1"/>
    <n v="3"/>
    <n v="1007"/>
    <n v="9"/>
    <x v="222"/>
  </r>
  <r>
    <x v="1"/>
    <n v="3"/>
    <n v="1374"/>
    <n v="10"/>
    <x v="115"/>
  </r>
  <r>
    <x v="1"/>
    <n v="3"/>
    <n v="890"/>
    <n v="13"/>
    <x v="92"/>
  </r>
  <r>
    <x v="1"/>
    <n v="3"/>
    <n v="2212"/>
    <n v="12"/>
    <x v="141"/>
  </r>
  <r>
    <x v="1"/>
    <n v="3"/>
    <n v="1680"/>
    <n v="7"/>
    <x v="63"/>
  </r>
  <r>
    <x v="1"/>
    <n v="3"/>
    <n v="1814"/>
    <n v="19"/>
    <x v="141"/>
  </r>
  <r>
    <x v="1"/>
    <n v="3"/>
    <n v="1164"/>
    <n v="9"/>
    <x v="169"/>
  </r>
  <r>
    <x v="1"/>
    <n v="3"/>
    <n v="656"/>
    <n v="10"/>
    <x v="89"/>
  </r>
  <r>
    <x v="1"/>
    <n v="3"/>
    <n v="1559"/>
    <n v="11"/>
    <x v="116"/>
  </r>
  <r>
    <x v="1"/>
    <n v="3"/>
    <n v="1296"/>
    <n v="22"/>
    <x v="157"/>
  </r>
  <r>
    <x v="1"/>
    <n v="3"/>
    <n v="1272"/>
    <n v="11"/>
    <x v="118"/>
  </r>
  <r>
    <x v="1"/>
    <n v="3"/>
    <n v="1177"/>
    <n v="10"/>
    <x v="172"/>
  </r>
  <r>
    <x v="1"/>
    <n v="3"/>
    <n v="1032"/>
    <n v="13"/>
    <x v="180"/>
  </r>
  <r>
    <x v="1"/>
    <n v="3"/>
    <n v="1030"/>
    <n v="8"/>
    <x v="223"/>
  </r>
  <r>
    <x v="1"/>
    <n v="3"/>
    <n v="1257"/>
    <n v="12"/>
    <x v="117"/>
  </r>
  <r>
    <x v="1"/>
    <n v="3"/>
    <n v="357"/>
    <n v="17"/>
    <x v="224"/>
  </r>
  <r>
    <x v="1"/>
    <n v="3"/>
    <n v="1206"/>
    <n v="15"/>
    <x v="134"/>
  </r>
  <r>
    <x v="1"/>
    <n v="3"/>
    <n v="1227"/>
    <n v="14"/>
    <x v="85"/>
  </r>
  <r>
    <x v="1"/>
    <n v="3"/>
    <n v="1430"/>
    <n v="12"/>
    <x v="117"/>
  </r>
  <r>
    <x v="1"/>
    <n v="3"/>
    <n v="1756"/>
    <n v="17"/>
    <x v="94"/>
  </r>
  <r>
    <x v="1"/>
    <n v="3"/>
    <n v="1262"/>
    <n v="8"/>
    <x v="162"/>
  </r>
  <r>
    <x v="1"/>
    <n v="3"/>
    <n v="1941"/>
    <n v="12"/>
    <x v="131"/>
  </r>
  <r>
    <x v="1"/>
    <n v="3"/>
    <n v="731"/>
    <n v="20"/>
    <x v="39"/>
  </r>
  <r>
    <x v="1"/>
    <n v="3"/>
    <n v="853"/>
    <n v="26"/>
    <x v="28"/>
  </r>
  <r>
    <x v="1"/>
    <n v="3"/>
    <n v="1216"/>
    <n v="20"/>
    <x v="193"/>
  </r>
  <r>
    <x v="1"/>
    <n v="3"/>
    <n v="1502"/>
    <n v="13"/>
    <x v="181"/>
  </r>
  <r>
    <x v="1"/>
    <n v="3"/>
    <n v="873"/>
    <n v="11"/>
    <x v="222"/>
  </r>
  <r>
    <x v="1"/>
    <n v="3"/>
    <n v="848"/>
    <n v="15"/>
    <x v="93"/>
  </r>
  <r>
    <x v="1"/>
    <n v="3"/>
    <n v="1324"/>
    <n v="15"/>
    <x v="88"/>
  </r>
  <r>
    <x v="1"/>
    <n v="3"/>
    <n v="861"/>
    <n v="16"/>
    <x v="225"/>
  </r>
  <r>
    <x v="1"/>
    <n v="3"/>
    <n v="745"/>
    <n v="19"/>
    <x v="226"/>
  </r>
  <r>
    <x v="1"/>
    <n v="3"/>
    <n v="724"/>
    <n v="7"/>
    <x v="190"/>
  </r>
  <r>
    <x v="1"/>
    <n v="3"/>
    <n v="916"/>
    <n v="9"/>
    <x v="149"/>
  </r>
  <r>
    <x v="1"/>
    <n v="3"/>
    <n v="769"/>
    <n v="21"/>
    <x v="129"/>
  </r>
  <r>
    <x v="1"/>
    <n v="3"/>
    <n v="1216"/>
    <n v="7"/>
    <x v="141"/>
  </r>
  <r>
    <x v="1"/>
    <n v="3"/>
    <n v="916"/>
    <n v="20"/>
    <x v="172"/>
  </r>
  <r>
    <x v="1"/>
    <n v="3"/>
    <n v="1124"/>
    <n v="4"/>
    <x v="49"/>
  </r>
  <r>
    <x v="1"/>
    <n v="3"/>
    <n v="1488"/>
    <n v="17"/>
    <x v="141"/>
  </r>
  <r>
    <x v="1"/>
    <n v="3"/>
    <n v="791"/>
    <n v="15"/>
    <x v="167"/>
  </r>
  <r>
    <x v="1"/>
    <n v="3"/>
    <n v="606"/>
    <n v="14"/>
    <x v="22"/>
  </r>
  <r>
    <x v="1"/>
    <n v="3"/>
    <n v="1136"/>
    <n v="14"/>
    <x v="171"/>
  </r>
  <r>
    <x v="1"/>
    <n v="3"/>
    <n v="1087"/>
    <n v="23"/>
    <x v="53"/>
  </r>
  <r>
    <x v="1"/>
    <n v="3"/>
    <n v="1709"/>
    <n v="18"/>
    <x v="193"/>
  </r>
  <r>
    <x v="1"/>
    <n v="3"/>
    <n v="718"/>
    <n v="15"/>
    <x v="227"/>
  </r>
  <r>
    <x v="1"/>
    <n v="3"/>
    <n v="989"/>
    <n v="7"/>
    <x v="117"/>
  </r>
  <r>
    <x v="1"/>
    <n v="3"/>
    <n v="1426"/>
    <n v="27"/>
    <x v="212"/>
  </r>
  <r>
    <x v="1"/>
    <n v="3"/>
    <n v="2023"/>
    <n v="9"/>
    <x v="193"/>
  </r>
  <r>
    <x v="1"/>
    <n v="3"/>
    <n v="1601"/>
    <n v="12"/>
    <x v="1"/>
  </r>
  <r>
    <x v="1"/>
    <n v="3"/>
    <n v="1143"/>
    <n v="7"/>
    <x v="54"/>
  </r>
  <r>
    <x v="1"/>
    <n v="3"/>
    <n v="1927"/>
    <n v="18"/>
    <x v="57"/>
  </r>
  <r>
    <x v="1"/>
    <n v="3"/>
    <n v="1745"/>
    <n v="8"/>
    <x v="17"/>
  </r>
  <r>
    <x v="1"/>
    <n v="3"/>
    <n v="1488"/>
    <n v="15"/>
    <x v="228"/>
  </r>
  <r>
    <x v="1"/>
    <n v="3"/>
    <n v="1369"/>
    <n v="14"/>
    <x v="131"/>
  </r>
  <r>
    <x v="1"/>
    <n v="3"/>
    <n v="836"/>
    <n v="8"/>
    <x v="71"/>
  </r>
  <r>
    <x v="1"/>
    <n v="3"/>
    <n v="994"/>
    <n v="13"/>
    <x v="229"/>
  </r>
  <r>
    <x v="1"/>
    <n v="3"/>
    <n v="1079"/>
    <n v="18"/>
    <x v="185"/>
  </r>
  <r>
    <x v="1"/>
    <n v="3"/>
    <n v="1288"/>
    <n v="22"/>
    <x v="68"/>
  </r>
  <r>
    <x v="1"/>
    <n v="3"/>
    <n v="951"/>
    <n v="15"/>
    <x v="166"/>
  </r>
  <r>
    <x v="1"/>
    <n v="3"/>
    <n v="1803"/>
    <n v="18"/>
    <x v="36"/>
  </r>
  <r>
    <x v="1"/>
    <n v="3"/>
    <n v="1583"/>
    <n v="15"/>
    <x v="115"/>
  </r>
  <r>
    <x v="1"/>
    <n v="3"/>
    <n v="1062"/>
    <n v="4"/>
    <x v="83"/>
  </r>
  <r>
    <x v="1"/>
    <n v="3"/>
    <n v="1677"/>
    <n v="10"/>
    <x v="104"/>
  </r>
  <r>
    <x v="1"/>
    <n v="3"/>
    <n v="1558"/>
    <n v="14"/>
    <x v="129"/>
  </r>
  <r>
    <x v="1"/>
    <n v="3"/>
    <n v="1443"/>
    <n v="9"/>
    <x v="198"/>
  </r>
  <r>
    <x v="1"/>
    <n v="3"/>
    <n v="1392"/>
    <n v="8"/>
    <x v="230"/>
  </r>
  <r>
    <x v="1"/>
    <n v="3"/>
    <n v="1215"/>
    <n v="11"/>
    <x v="52"/>
  </r>
  <r>
    <x v="1"/>
    <n v="3"/>
    <n v="1060"/>
    <n v="15"/>
    <x v="157"/>
  </r>
  <r>
    <x v="1"/>
    <n v="3"/>
    <n v="1491"/>
    <n v="15"/>
    <x v="150"/>
  </r>
  <r>
    <x v="1"/>
    <n v="3"/>
    <n v="1837"/>
    <n v="19"/>
    <x v="231"/>
  </r>
  <r>
    <x v="1"/>
    <n v="3"/>
    <n v="828"/>
    <n v="8"/>
    <x v="168"/>
  </r>
  <r>
    <x v="1"/>
    <n v="3"/>
    <n v="1370"/>
    <n v="18"/>
    <x v="47"/>
  </r>
  <r>
    <x v="1"/>
    <n v="3"/>
    <n v="800"/>
    <n v="18"/>
    <x v="205"/>
  </r>
  <r>
    <x v="1"/>
    <n v="3"/>
    <n v="1645"/>
    <n v="10"/>
    <x v="201"/>
  </r>
  <r>
    <x v="1"/>
    <n v="3"/>
    <n v="1113"/>
    <n v="25"/>
    <x v="215"/>
  </r>
  <r>
    <x v="1"/>
    <n v="3"/>
    <n v="1537"/>
    <n v="21"/>
    <x v="88"/>
  </r>
  <r>
    <x v="1"/>
    <n v="3"/>
    <n v="1380"/>
    <n v="24"/>
    <x v="125"/>
  </r>
  <r>
    <x v="1"/>
    <n v="3"/>
    <n v="1113"/>
    <n v="2"/>
    <x v="70"/>
  </r>
  <r>
    <x v="1"/>
    <n v="3"/>
    <n v="822"/>
    <n v="5"/>
    <x v="87"/>
  </r>
  <r>
    <x v="1"/>
    <n v="3"/>
    <n v="1540"/>
    <n v="17"/>
    <x v="181"/>
  </r>
  <r>
    <x v="1"/>
    <n v="3"/>
    <n v="1102"/>
    <n v="20"/>
    <x v="81"/>
  </r>
  <r>
    <x v="1"/>
    <n v="3"/>
    <n v="1644"/>
    <n v="13"/>
    <x v="136"/>
  </r>
  <r>
    <x v="1"/>
    <n v="3"/>
    <n v="1729"/>
    <n v="11"/>
    <x v="97"/>
  </r>
  <r>
    <x v="1"/>
    <n v="3"/>
    <n v="1033"/>
    <n v="8"/>
    <x v="136"/>
  </r>
  <r>
    <x v="1"/>
    <n v="3"/>
    <n v="1322"/>
    <n v="11"/>
    <x v="197"/>
  </r>
  <r>
    <x v="1"/>
    <n v="3"/>
    <n v="1146"/>
    <n v="4"/>
    <x v="110"/>
  </r>
  <r>
    <x v="1"/>
    <n v="3"/>
    <n v="1393"/>
    <n v="9"/>
    <x v="98"/>
  </r>
  <r>
    <x v="1"/>
    <n v="3"/>
    <n v="944"/>
    <n v="7"/>
    <x v="128"/>
  </r>
  <r>
    <x v="1"/>
    <n v="3"/>
    <n v="548"/>
    <n v="7"/>
    <x v="93"/>
  </r>
  <r>
    <x v="1"/>
    <n v="3"/>
    <n v="845"/>
    <n v="9"/>
    <x v="91"/>
  </r>
  <r>
    <x v="1"/>
    <n v="3"/>
    <n v="729"/>
    <n v="9"/>
    <x v="158"/>
  </r>
  <r>
    <x v="1"/>
    <n v="3"/>
    <n v="1376"/>
    <n v="16"/>
    <x v="141"/>
  </r>
  <r>
    <x v="1"/>
    <n v="3"/>
    <n v="1116"/>
    <n v="12"/>
    <x v="4"/>
  </r>
  <r>
    <x v="1"/>
    <n v="3"/>
    <n v="1689"/>
    <n v="10"/>
    <x v="194"/>
  </r>
  <r>
    <x v="1"/>
    <n v="3"/>
    <n v="1232"/>
    <n v="8"/>
    <x v="185"/>
  </r>
  <r>
    <x v="1"/>
    <n v="3"/>
    <n v="816"/>
    <n v="3"/>
    <x v="149"/>
  </r>
  <r>
    <x v="1"/>
    <n v="3"/>
    <n v="1503"/>
    <n v="16"/>
    <x v="197"/>
  </r>
  <r>
    <x v="1"/>
    <n v="3"/>
    <n v="1393"/>
    <n v="20"/>
    <x v="163"/>
  </r>
  <r>
    <x v="1"/>
    <n v="3"/>
    <n v="1349"/>
    <n v="13"/>
    <x v="36"/>
  </r>
  <r>
    <x v="1"/>
    <n v="3"/>
    <n v="775"/>
    <n v="16"/>
    <x v="10"/>
  </r>
  <r>
    <x v="1"/>
    <n v="3"/>
    <n v="1155"/>
    <n v="3"/>
    <x v="76"/>
  </r>
  <r>
    <x v="1"/>
    <n v="3"/>
    <n v="1332"/>
    <n v="14"/>
    <x v="224"/>
  </r>
  <r>
    <x v="1"/>
    <n v="3"/>
    <n v="1251"/>
    <n v="8"/>
    <x v="8"/>
  </r>
  <r>
    <x v="1"/>
    <n v="3"/>
    <n v="1342"/>
    <n v="4"/>
    <x v="50"/>
  </r>
  <r>
    <x v="1"/>
    <n v="3"/>
    <n v="1397"/>
    <n v="13"/>
    <x v="141"/>
  </r>
  <r>
    <x v="1"/>
    <n v="3"/>
    <n v="794"/>
    <n v="11"/>
    <x v="89"/>
  </r>
  <r>
    <x v="1"/>
    <n v="3"/>
    <n v="1102"/>
    <n v="12"/>
    <x v="31"/>
  </r>
  <r>
    <x v="1"/>
    <n v="3"/>
    <n v="405"/>
    <n v="11"/>
    <x v="214"/>
  </r>
  <r>
    <x v="1"/>
    <n v="3"/>
    <n v="904"/>
    <n v="13"/>
    <x v="38"/>
  </r>
  <r>
    <x v="1"/>
    <n v="3"/>
    <n v="1228"/>
    <n v="18"/>
    <x v="95"/>
  </r>
  <r>
    <x v="1"/>
    <n v="3"/>
    <n v="1299"/>
    <n v="24"/>
    <x v="8"/>
  </r>
  <r>
    <x v="1"/>
    <n v="3"/>
    <n v="1311"/>
    <n v="14"/>
    <x v="30"/>
  </r>
  <r>
    <x v="1"/>
    <n v="3"/>
    <n v="1137"/>
    <n v="13"/>
    <x v="200"/>
  </r>
  <r>
    <x v="1"/>
    <n v="3"/>
    <n v="1253"/>
    <n v="13"/>
    <x v="107"/>
  </r>
  <r>
    <x v="1"/>
    <n v="3"/>
    <n v="1627"/>
    <n v="10"/>
    <x v="2"/>
  </r>
  <r>
    <x v="1"/>
    <n v="3"/>
    <n v="1181"/>
    <n v="18"/>
    <x v="9"/>
  </r>
  <r>
    <x v="1"/>
    <n v="3"/>
    <n v="702"/>
    <n v="1"/>
    <x v="232"/>
  </r>
  <r>
    <x v="1"/>
    <n v="3"/>
    <n v="1004"/>
    <n v="3"/>
    <x v="70"/>
  </r>
  <r>
    <x v="1"/>
    <n v="3"/>
    <n v="1316"/>
    <n v="10"/>
    <x v="17"/>
  </r>
  <r>
    <x v="1"/>
    <n v="3"/>
    <n v="1002"/>
    <n v="19"/>
    <x v="140"/>
  </r>
  <r>
    <x v="1"/>
    <n v="3"/>
    <n v="1066"/>
    <n v="10"/>
    <x v="52"/>
  </r>
  <r>
    <x v="1"/>
    <n v="3"/>
    <n v="600"/>
    <n v="19"/>
    <x v="109"/>
  </r>
  <r>
    <x v="1"/>
    <n v="3"/>
    <n v="1409"/>
    <n v="9"/>
    <x v="50"/>
  </r>
  <r>
    <x v="1"/>
    <n v="3"/>
    <n v="1394"/>
    <n v="17"/>
    <x v="16"/>
  </r>
  <r>
    <x v="1"/>
    <n v="3"/>
    <n v="1017"/>
    <n v="8"/>
    <x v="188"/>
  </r>
  <r>
    <x v="1"/>
    <n v="3"/>
    <n v="1191"/>
    <n v="9"/>
    <x v="233"/>
  </r>
  <r>
    <x v="1"/>
    <n v="3"/>
    <n v="1538"/>
    <n v="12"/>
    <x v="181"/>
  </r>
  <r>
    <x v="1"/>
    <n v="3"/>
    <n v="746"/>
    <n v="2"/>
    <x v="234"/>
  </r>
  <r>
    <x v="1"/>
    <n v="3"/>
    <n v="594"/>
    <n v="10"/>
    <x v="126"/>
  </r>
  <r>
    <x v="1"/>
    <n v="3"/>
    <n v="1212"/>
    <n v="14"/>
    <x v="190"/>
  </r>
  <r>
    <x v="1"/>
    <n v="3"/>
    <n v="435"/>
    <n v="10"/>
    <x v="85"/>
  </r>
  <r>
    <x v="1"/>
    <n v="3"/>
    <n v="2025"/>
    <n v="19"/>
    <x v="115"/>
  </r>
  <r>
    <x v="1"/>
    <n v="3"/>
    <n v="1584"/>
    <n v="19"/>
    <x v="235"/>
  </r>
  <r>
    <x v="1"/>
    <n v="3"/>
    <n v="1302"/>
    <n v="15"/>
    <x v="170"/>
  </r>
  <r>
    <x v="1"/>
    <n v="3"/>
    <n v="1634"/>
    <n v="16"/>
    <x v="52"/>
  </r>
  <r>
    <x v="1"/>
    <n v="3"/>
    <n v="1424"/>
    <n v="12"/>
    <x v="129"/>
  </r>
  <r>
    <x v="1"/>
    <n v="3"/>
    <n v="827"/>
    <n v="9"/>
    <x v="132"/>
  </r>
  <r>
    <x v="1"/>
    <n v="3"/>
    <n v="1401"/>
    <n v="13"/>
    <x v="105"/>
  </r>
  <r>
    <x v="1"/>
    <n v="3"/>
    <n v="980"/>
    <n v="10"/>
    <x v="224"/>
  </r>
  <r>
    <x v="1"/>
    <n v="3"/>
    <n v="865"/>
    <n v="16"/>
    <x v="40"/>
  </r>
  <r>
    <x v="1"/>
    <n v="3"/>
    <n v="633"/>
    <n v="19"/>
    <x v="87"/>
  </r>
  <r>
    <x v="1"/>
    <n v="3"/>
    <n v="1247"/>
    <n v="5"/>
    <x v="83"/>
  </r>
  <r>
    <x v="1"/>
    <n v="3"/>
    <n v="1029"/>
    <n v="11"/>
    <x v="206"/>
  </r>
  <r>
    <x v="1"/>
    <n v="3"/>
    <n v="1353"/>
    <n v="8"/>
    <x v="139"/>
  </r>
  <r>
    <x v="1"/>
    <n v="3"/>
    <n v="726"/>
    <n v="6"/>
    <x v="77"/>
  </r>
  <r>
    <x v="1"/>
    <n v="3"/>
    <n v="681"/>
    <n v="12"/>
    <x v="150"/>
  </r>
  <r>
    <x v="1"/>
    <n v="3"/>
    <n v="1761"/>
    <n v="20"/>
    <x v="49"/>
  </r>
  <r>
    <x v="1"/>
    <n v="3"/>
    <n v="1135"/>
    <n v="19"/>
    <x v="100"/>
  </r>
  <r>
    <x v="1"/>
    <n v="3"/>
    <n v="703"/>
    <n v="17"/>
    <x v="1"/>
  </r>
  <r>
    <x v="1"/>
    <n v="3"/>
    <n v="1523"/>
    <n v="6"/>
    <x v="0"/>
  </r>
  <r>
    <x v="1"/>
    <n v="3"/>
    <n v="482"/>
    <n v="19"/>
    <x v="65"/>
  </r>
  <r>
    <x v="1"/>
    <n v="3"/>
    <n v="862"/>
    <n v="11"/>
    <x v="83"/>
  </r>
  <r>
    <x v="1"/>
    <n v="3"/>
    <n v="905"/>
    <n v="10"/>
    <x v="27"/>
  </r>
  <r>
    <x v="1"/>
    <n v="3"/>
    <n v="1572"/>
    <n v="14"/>
    <x v="235"/>
  </r>
  <r>
    <x v="1"/>
    <n v="3"/>
    <n v="1263"/>
    <n v="10"/>
    <x v="188"/>
  </r>
  <r>
    <x v="1"/>
    <n v="3"/>
    <n v="1284"/>
    <n v="6"/>
    <x v="31"/>
  </r>
  <r>
    <x v="1"/>
    <n v="3"/>
    <n v="1003"/>
    <n v="10"/>
    <x v="172"/>
  </r>
  <r>
    <x v="1"/>
    <n v="3"/>
    <n v="740"/>
    <n v="8"/>
    <x v="81"/>
  </r>
  <r>
    <x v="1"/>
    <n v="3"/>
    <n v="1957"/>
    <n v="9"/>
    <x v="77"/>
  </r>
  <r>
    <x v="1"/>
    <n v="3"/>
    <n v="961"/>
    <n v="10"/>
    <x v="135"/>
  </r>
  <r>
    <x v="1"/>
    <n v="3"/>
    <n v="1003"/>
    <n v="20"/>
    <x v="187"/>
  </r>
  <r>
    <x v="1"/>
    <n v="3"/>
    <n v="1610"/>
    <n v="7"/>
    <x v="141"/>
  </r>
  <r>
    <x v="1"/>
    <n v="3"/>
    <n v="1036"/>
    <n v="14"/>
    <x v="195"/>
  </r>
  <r>
    <x v="1"/>
    <n v="3"/>
    <n v="1583"/>
    <n v="17"/>
    <x v="17"/>
  </r>
  <r>
    <x v="1"/>
    <n v="3"/>
    <n v="1105"/>
    <n v="17"/>
    <x v="49"/>
  </r>
  <r>
    <x v="1"/>
    <n v="3"/>
    <n v="1851"/>
    <n v="10"/>
    <x v="236"/>
  </r>
  <r>
    <x v="1"/>
    <n v="3"/>
    <n v="1325"/>
    <n v="21"/>
    <x v="81"/>
  </r>
  <r>
    <x v="1"/>
    <n v="3"/>
    <n v="698"/>
    <n v="8"/>
    <x v="215"/>
  </r>
  <r>
    <x v="1"/>
    <n v="3"/>
    <n v="967"/>
    <n v="18"/>
    <x v="208"/>
  </r>
  <r>
    <x v="1"/>
    <n v="3"/>
    <n v="1037"/>
    <n v="8"/>
    <x v="68"/>
  </r>
  <r>
    <x v="1"/>
    <n v="3"/>
    <n v="1072"/>
    <n v="10"/>
    <x v="219"/>
  </r>
  <r>
    <x v="1"/>
    <n v="3"/>
    <n v="1390"/>
    <n v="4"/>
    <x v="193"/>
  </r>
  <r>
    <x v="1"/>
    <n v="3"/>
    <n v="1106"/>
    <n v="8"/>
    <x v="40"/>
  </r>
  <r>
    <x v="1"/>
    <n v="3"/>
    <n v="1661"/>
    <n v="18"/>
    <x v="84"/>
  </r>
  <r>
    <x v="1"/>
    <n v="3"/>
    <n v="1205"/>
    <n v="14"/>
    <x v="197"/>
  </r>
  <r>
    <x v="1"/>
    <n v="3"/>
    <n v="1191"/>
    <n v="14"/>
    <x v="181"/>
  </r>
  <r>
    <x v="1"/>
    <n v="3"/>
    <n v="1315"/>
    <n v="5"/>
    <x v="172"/>
  </r>
  <r>
    <x v="1"/>
    <n v="3"/>
    <n v="1690"/>
    <n v="13"/>
    <x v="141"/>
  </r>
  <r>
    <x v="1"/>
    <n v="3"/>
    <n v="1912"/>
    <n v="17"/>
    <x v="218"/>
  </r>
  <r>
    <x v="1"/>
    <n v="3"/>
    <n v="1034"/>
    <n v="5"/>
    <x v="158"/>
  </r>
  <r>
    <x v="1"/>
    <n v="3"/>
    <n v="823"/>
    <n v="14"/>
    <x v="232"/>
  </r>
  <r>
    <x v="1"/>
    <n v="3"/>
    <n v="1899"/>
    <n v="21"/>
    <x v="237"/>
  </r>
  <r>
    <x v="1"/>
    <n v="3"/>
    <n v="1371"/>
    <n v="17"/>
    <x v="141"/>
  </r>
  <r>
    <x v="1"/>
    <n v="3"/>
    <n v="947"/>
    <n v="6"/>
    <x v="38"/>
  </r>
  <r>
    <x v="1"/>
    <n v="3"/>
    <n v="880"/>
    <n v="13"/>
    <x v="4"/>
  </r>
  <r>
    <x v="1"/>
    <n v="3"/>
    <n v="613"/>
    <n v="13"/>
    <x v="207"/>
  </r>
  <r>
    <x v="1"/>
    <n v="3"/>
    <n v="1072"/>
    <n v="12"/>
    <x v="51"/>
  </r>
  <r>
    <x v="1"/>
    <n v="3"/>
    <n v="1139"/>
    <n v="11"/>
    <x v="0"/>
  </r>
  <r>
    <x v="1"/>
    <n v="3"/>
    <n v="1270"/>
    <n v="18"/>
    <x v="203"/>
  </r>
  <r>
    <x v="1"/>
    <n v="3"/>
    <n v="1472"/>
    <n v="10"/>
    <x v="141"/>
  </r>
  <r>
    <x v="1"/>
    <n v="3"/>
    <n v="1365"/>
    <n v="27"/>
    <x v="76"/>
  </r>
  <r>
    <x v="1"/>
    <n v="3"/>
    <n v="1118"/>
    <n v="13"/>
    <x v="238"/>
  </r>
  <r>
    <x v="1"/>
    <n v="3"/>
    <n v="1315"/>
    <n v="8"/>
    <x v="219"/>
  </r>
  <r>
    <x v="1"/>
    <n v="3"/>
    <n v="1517"/>
    <n v="19"/>
    <x v="67"/>
  </r>
  <r>
    <x v="1"/>
    <n v="3"/>
    <n v="1647"/>
    <n v="14"/>
    <x v="239"/>
  </r>
  <r>
    <x v="1"/>
    <n v="3"/>
    <n v="1340"/>
    <n v="14"/>
    <x v="17"/>
  </r>
  <r>
    <x v="1"/>
    <n v="3"/>
    <n v="1064"/>
    <n v="6"/>
    <x v="230"/>
  </r>
  <r>
    <x v="1"/>
    <n v="3"/>
    <n v="1653"/>
    <n v="13"/>
    <x v="149"/>
  </r>
  <r>
    <x v="1"/>
    <n v="3"/>
    <n v="1349"/>
    <n v="11"/>
    <x v="90"/>
  </r>
  <r>
    <x v="1"/>
    <n v="3"/>
    <n v="1067"/>
    <n v="16"/>
    <x v="108"/>
  </r>
  <r>
    <x v="1"/>
    <n v="3"/>
    <n v="1209"/>
    <n v="15"/>
    <x v="168"/>
  </r>
  <r>
    <x v="1"/>
    <n v="3"/>
    <n v="1097"/>
    <n v="14"/>
    <x v="53"/>
  </r>
  <r>
    <x v="1"/>
    <n v="3"/>
    <n v="1612"/>
    <n v="17"/>
    <x v="53"/>
  </r>
  <r>
    <x v="1"/>
    <n v="3"/>
    <n v="1236"/>
    <n v="9"/>
    <x v="76"/>
  </r>
  <r>
    <x v="1"/>
    <n v="3"/>
    <n v="1456"/>
    <n v="7"/>
    <x v="179"/>
  </r>
  <r>
    <x v="1"/>
    <n v="3"/>
    <n v="2018"/>
    <n v="19"/>
    <x v="47"/>
  </r>
  <r>
    <x v="1"/>
    <n v="3"/>
    <n v="992"/>
    <n v="17"/>
    <x v="7"/>
  </r>
  <r>
    <x v="1"/>
    <n v="3"/>
    <n v="1145"/>
    <n v="19"/>
    <x v="5"/>
  </r>
  <r>
    <x v="1"/>
    <n v="3"/>
    <n v="1940"/>
    <n v="17"/>
    <x v="193"/>
  </r>
  <r>
    <x v="1"/>
    <n v="3"/>
    <n v="1012"/>
    <n v="24"/>
    <x v="205"/>
  </r>
  <r>
    <x v="1"/>
    <n v="3"/>
    <n v="684"/>
    <n v="9"/>
    <x v="240"/>
  </r>
  <r>
    <x v="1"/>
    <n v="3"/>
    <n v="738"/>
    <n v="10"/>
    <x v="111"/>
  </r>
  <r>
    <x v="1"/>
    <n v="3"/>
    <n v="724"/>
    <n v="12"/>
    <x v="101"/>
  </r>
  <r>
    <x v="1"/>
    <n v="3"/>
    <n v="1254"/>
    <n v="19"/>
    <x v="87"/>
  </r>
  <r>
    <x v="1"/>
    <n v="3"/>
    <n v="1042"/>
    <n v="9"/>
    <x v="24"/>
  </r>
  <r>
    <x v="1"/>
    <n v="3"/>
    <n v="1432"/>
    <n v="11"/>
    <x v="124"/>
  </r>
  <r>
    <x v="1"/>
    <n v="3"/>
    <n v="994"/>
    <n v="10"/>
    <x v="116"/>
  </r>
  <r>
    <x v="1"/>
    <n v="3"/>
    <n v="1028"/>
    <n v="10"/>
    <x v="61"/>
  </r>
  <r>
    <x v="1"/>
    <n v="3"/>
    <n v="1406"/>
    <n v="20"/>
    <x v="205"/>
  </r>
  <r>
    <x v="1"/>
    <n v="3"/>
    <n v="1130"/>
    <n v="20"/>
    <x v="141"/>
  </r>
  <r>
    <x v="1"/>
    <n v="3"/>
    <n v="818"/>
    <n v="9"/>
    <x v="88"/>
  </r>
  <r>
    <x v="1"/>
    <n v="3"/>
    <n v="834"/>
    <n v="16"/>
    <x v="240"/>
  </r>
  <r>
    <x v="1"/>
    <n v="3"/>
    <n v="1315"/>
    <n v="9"/>
    <x v="2"/>
  </r>
  <r>
    <x v="1"/>
    <n v="3"/>
    <n v="1783"/>
    <n v="12"/>
    <x v="190"/>
  </r>
  <r>
    <x v="1"/>
    <n v="3"/>
    <n v="1210"/>
    <n v="10"/>
    <x v="112"/>
  </r>
  <r>
    <x v="1"/>
    <n v="3"/>
    <n v="1241"/>
    <n v="12"/>
    <x v="47"/>
  </r>
  <r>
    <x v="1"/>
    <n v="3"/>
    <n v="1207"/>
    <n v="19"/>
    <x v="171"/>
  </r>
  <r>
    <x v="1"/>
    <n v="3"/>
    <n v="972"/>
    <n v="3"/>
    <x v="158"/>
  </r>
  <r>
    <x v="1"/>
    <n v="3"/>
    <n v="1168"/>
    <n v="12"/>
    <x v="104"/>
  </r>
  <r>
    <x v="1"/>
    <n v="3"/>
    <n v="1183"/>
    <n v="6"/>
    <x v="125"/>
  </r>
  <r>
    <x v="1"/>
    <n v="3"/>
    <n v="1260"/>
    <n v="19"/>
    <x v="241"/>
  </r>
  <r>
    <x v="1"/>
    <n v="3"/>
    <n v="1466"/>
    <n v="16"/>
    <x v="218"/>
  </r>
  <r>
    <x v="1"/>
    <n v="3"/>
    <n v="1377"/>
    <n v="7"/>
    <x v="105"/>
  </r>
  <r>
    <x v="1"/>
    <n v="3"/>
    <n v="1334"/>
    <n v="18"/>
    <x v="201"/>
  </r>
  <r>
    <x v="1"/>
    <n v="3"/>
    <n v="729"/>
    <n v="10"/>
    <x v="148"/>
  </r>
  <r>
    <x v="1"/>
    <n v="3"/>
    <n v="1162"/>
    <n v="1"/>
    <x v="132"/>
  </r>
  <r>
    <x v="1"/>
    <n v="3"/>
    <n v="411"/>
    <n v="19"/>
    <x v="221"/>
  </r>
  <r>
    <x v="1"/>
    <n v="3"/>
    <n v="944"/>
    <n v="18"/>
    <x v="36"/>
  </r>
  <r>
    <x v="1"/>
    <n v="3"/>
    <n v="853"/>
    <n v="11"/>
    <x v="96"/>
  </r>
  <r>
    <x v="1"/>
    <n v="3"/>
    <n v="1631"/>
    <n v="9"/>
    <x v="217"/>
  </r>
  <r>
    <x v="1"/>
    <n v="3"/>
    <n v="778"/>
    <n v="16"/>
    <x v="65"/>
  </r>
  <r>
    <x v="1"/>
    <n v="3"/>
    <n v="1420"/>
    <n v="7"/>
    <x v="104"/>
  </r>
  <r>
    <x v="1"/>
    <n v="3"/>
    <n v="307"/>
    <n v="10"/>
    <x v="36"/>
  </r>
  <r>
    <x v="1"/>
    <n v="3"/>
    <n v="790"/>
    <n v="18"/>
    <x v="8"/>
  </r>
  <r>
    <x v="1"/>
    <n v="3"/>
    <n v="1254"/>
    <n v="9"/>
    <x v="0"/>
  </r>
  <r>
    <x v="1"/>
    <n v="3"/>
    <n v="1251"/>
    <n v="12"/>
    <x v="155"/>
  </r>
  <r>
    <x v="1"/>
    <n v="3"/>
    <n v="682"/>
    <n v="17"/>
    <x v="157"/>
  </r>
  <r>
    <x v="1"/>
    <n v="3"/>
    <n v="1518"/>
    <n v="10"/>
    <x v="172"/>
  </r>
  <r>
    <x v="1"/>
    <n v="3"/>
    <n v="1100"/>
    <n v="14"/>
    <x v="153"/>
  </r>
  <r>
    <x v="1"/>
    <n v="3"/>
    <n v="1983"/>
    <n v="12"/>
    <x v="120"/>
  </r>
  <r>
    <x v="1"/>
    <n v="3"/>
    <n v="1305"/>
    <n v="9"/>
    <x v="177"/>
  </r>
  <r>
    <x v="1"/>
    <n v="3"/>
    <n v="1270"/>
    <n v="10"/>
    <x v="193"/>
  </r>
  <r>
    <x v="1"/>
    <n v="3"/>
    <n v="1184"/>
    <n v="3"/>
    <x v="69"/>
  </r>
  <r>
    <x v="1"/>
    <n v="3"/>
    <n v="846"/>
    <n v="16"/>
    <x v="70"/>
  </r>
  <r>
    <x v="1"/>
    <n v="3"/>
    <n v="388"/>
    <n v="13"/>
    <x v="53"/>
  </r>
  <r>
    <x v="1"/>
    <n v="3"/>
    <n v="1690"/>
    <n v="5"/>
    <x v="197"/>
  </r>
  <r>
    <x v="1"/>
    <n v="3"/>
    <n v="1288"/>
    <n v="20"/>
    <x v="141"/>
  </r>
  <r>
    <x v="1"/>
    <n v="3"/>
    <n v="1280"/>
    <n v="11"/>
    <x v="208"/>
  </r>
  <r>
    <x v="1"/>
    <n v="3"/>
    <n v="1684"/>
    <n v="18"/>
    <x v="172"/>
  </r>
  <r>
    <x v="1"/>
    <n v="3"/>
    <n v="637"/>
    <n v="18"/>
    <x v="84"/>
  </r>
  <r>
    <x v="1"/>
    <n v="3"/>
    <n v="1175"/>
    <n v="6"/>
    <x v="188"/>
  </r>
  <r>
    <x v="1"/>
    <n v="3"/>
    <n v="1042"/>
    <n v="12"/>
    <x v="0"/>
  </r>
  <r>
    <x v="1"/>
    <n v="3"/>
    <n v="1066"/>
    <n v="10"/>
    <x v="32"/>
  </r>
  <r>
    <x v="1"/>
    <n v="3"/>
    <n v="2025"/>
    <n v="25"/>
    <x v="12"/>
  </r>
  <r>
    <x v="1"/>
    <n v="3"/>
    <n v="1318"/>
    <n v="16"/>
    <x v="87"/>
  </r>
  <r>
    <x v="1"/>
    <n v="3"/>
    <n v="1475"/>
    <n v="9"/>
    <x v="179"/>
  </r>
  <r>
    <x v="1"/>
    <n v="3"/>
    <n v="779"/>
    <n v="8"/>
    <x v="165"/>
  </r>
  <r>
    <x v="1"/>
    <n v="3"/>
    <n v="569"/>
    <n v="7"/>
    <x v="30"/>
  </r>
  <r>
    <x v="1"/>
    <n v="3"/>
    <n v="1356"/>
    <n v="7"/>
    <x v="187"/>
  </r>
  <r>
    <x v="1"/>
    <n v="3"/>
    <n v="1582"/>
    <n v="26"/>
    <x v="53"/>
  </r>
  <r>
    <x v="1"/>
    <n v="3"/>
    <n v="1161"/>
    <n v="19"/>
    <x v="107"/>
  </r>
  <r>
    <x v="1"/>
    <n v="3"/>
    <n v="1307"/>
    <n v="7"/>
    <x v="192"/>
  </r>
  <r>
    <x v="1"/>
    <n v="3"/>
    <n v="2039"/>
    <n v="11"/>
    <x v="166"/>
  </r>
  <r>
    <x v="1"/>
    <n v="3"/>
    <n v="1458"/>
    <n v="13"/>
    <x v="234"/>
  </r>
  <r>
    <x v="1"/>
    <n v="3"/>
    <n v="474"/>
    <n v="13"/>
    <x v="219"/>
  </r>
  <r>
    <x v="1"/>
    <n v="3"/>
    <n v="1249"/>
    <n v="17"/>
    <x v="134"/>
  </r>
  <r>
    <x v="1"/>
    <n v="3"/>
    <n v="1216"/>
    <n v="18"/>
    <x v="85"/>
  </r>
  <r>
    <x v="1"/>
    <n v="3"/>
    <n v="1578"/>
    <n v="10"/>
    <x v="242"/>
  </r>
  <r>
    <x v="1"/>
    <n v="3"/>
    <n v="967"/>
    <n v="10"/>
    <x v="168"/>
  </r>
  <r>
    <x v="1"/>
    <n v="3"/>
    <n v="837"/>
    <n v="13"/>
    <x v="29"/>
  </r>
  <r>
    <x v="1"/>
    <n v="3"/>
    <n v="1021"/>
    <n v="17"/>
    <x v="122"/>
  </r>
  <r>
    <x v="1"/>
    <n v="3"/>
    <n v="761"/>
    <n v="10"/>
    <x v="124"/>
  </r>
  <r>
    <x v="1"/>
    <n v="3"/>
    <n v="1237"/>
    <n v="6"/>
    <x v="241"/>
  </r>
  <r>
    <x v="1"/>
    <n v="3"/>
    <n v="535"/>
    <n v="8"/>
    <x v="168"/>
  </r>
  <r>
    <x v="1"/>
    <n v="3"/>
    <n v="912"/>
    <n v="20"/>
    <x v="15"/>
  </r>
  <r>
    <x v="1"/>
    <n v="3"/>
    <n v="808"/>
    <n v="18"/>
    <x v="131"/>
  </r>
  <r>
    <x v="1"/>
    <n v="3"/>
    <n v="1518"/>
    <n v="21"/>
    <x v="201"/>
  </r>
  <r>
    <x v="1"/>
    <n v="3"/>
    <n v="1760"/>
    <n v="13"/>
    <x v="127"/>
  </r>
  <r>
    <x v="1"/>
    <n v="3"/>
    <n v="990"/>
    <n v="11"/>
    <x v="243"/>
  </r>
  <r>
    <x v="1"/>
    <n v="3"/>
    <n v="1270"/>
    <n v="14"/>
    <x v="162"/>
  </r>
  <r>
    <x v="1"/>
    <n v="3"/>
    <n v="1586"/>
    <n v="18"/>
    <x v="72"/>
  </r>
  <r>
    <x v="1"/>
    <n v="3"/>
    <n v="1242"/>
    <n v="23"/>
    <x v="43"/>
  </r>
  <r>
    <x v="1"/>
    <n v="3"/>
    <n v="1116"/>
    <n v="15"/>
    <x v="67"/>
  </r>
  <r>
    <x v="1"/>
    <n v="3"/>
    <n v="962"/>
    <n v="18"/>
    <x v="110"/>
  </r>
  <r>
    <x v="1"/>
    <n v="3"/>
    <n v="1067"/>
    <n v="16"/>
    <x v="39"/>
  </r>
  <r>
    <x v="1"/>
    <n v="3"/>
    <n v="1644"/>
    <n v="12"/>
    <x v="98"/>
  </r>
  <r>
    <x v="1"/>
    <n v="3"/>
    <n v="717"/>
    <n v="9"/>
    <x v="164"/>
  </r>
  <r>
    <x v="1"/>
    <n v="3"/>
    <n v="1462"/>
    <n v="4"/>
    <x v="168"/>
  </r>
  <r>
    <x v="1"/>
    <n v="3"/>
    <n v="868"/>
    <n v="19"/>
    <x v="244"/>
  </r>
  <r>
    <x v="1"/>
    <n v="3"/>
    <n v="1568"/>
    <n v="8"/>
    <x v="90"/>
  </r>
  <r>
    <x v="1"/>
    <n v="3"/>
    <n v="820"/>
    <n v="11"/>
    <x v="72"/>
  </r>
  <r>
    <x v="1"/>
    <n v="3"/>
    <n v="1396"/>
    <n v="16"/>
    <x v="172"/>
  </r>
  <r>
    <x v="1"/>
    <n v="3"/>
    <n v="1378"/>
    <n v="14"/>
    <x v="97"/>
  </r>
  <r>
    <x v="1"/>
    <n v="3"/>
    <n v="1472"/>
    <n v="7"/>
    <x v="230"/>
  </r>
  <r>
    <x v="1"/>
    <n v="3"/>
    <n v="1276"/>
    <n v="19"/>
    <x v="196"/>
  </r>
  <r>
    <x v="1"/>
    <n v="3"/>
    <n v="1518"/>
    <n v="14"/>
    <x v="53"/>
  </r>
  <r>
    <x v="1"/>
    <n v="3"/>
    <n v="1497"/>
    <n v="12"/>
    <x v="111"/>
  </r>
  <r>
    <x v="1"/>
    <n v="3"/>
    <n v="1175"/>
    <n v="7"/>
    <x v="90"/>
  </r>
  <r>
    <x v="1"/>
    <n v="3"/>
    <n v="1536"/>
    <n v="8"/>
    <x v="166"/>
  </r>
  <r>
    <x v="1"/>
    <n v="3"/>
    <n v="921"/>
    <n v="6"/>
    <x v="186"/>
  </r>
  <r>
    <x v="1"/>
    <n v="3"/>
    <n v="970"/>
    <n v="8"/>
    <x v="22"/>
  </r>
  <r>
    <x v="1"/>
    <n v="3"/>
    <n v="1188"/>
    <n v="1"/>
    <x v="189"/>
  </r>
  <r>
    <x v="1"/>
    <n v="3"/>
    <n v="634"/>
    <n v="21"/>
    <x v="168"/>
  </r>
  <r>
    <x v="1"/>
    <n v="3"/>
    <n v="911"/>
    <n v="3"/>
    <x v="105"/>
  </r>
  <r>
    <x v="1"/>
    <n v="3"/>
    <n v="547"/>
    <n v="9"/>
    <x v="117"/>
  </r>
  <r>
    <x v="1"/>
    <n v="3"/>
    <n v="1477"/>
    <n v="8"/>
    <x v="40"/>
  </r>
  <r>
    <x v="1"/>
    <n v="3"/>
    <n v="1882"/>
    <n v="1"/>
    <x v="32"/>
  </r>
  <r>
    <x v="1"/>
    <n v="3"/>
    <n v="1356"/>
    <n v="19"/>
    <x v="31"/>
  </r>
  <r>
    <x v="1"/>
    <n v="3"/>
    <n v="704"/>
    <n v="6"/>
    <x v="188"/>
  </r>
  <r>
    <x v="1"/>
    <n v="3"/>
    <n v="1109"/>
    <n v="14"/>
    <x v="185"/>
  </r>
  <r>
    <x v="1"/>
    <n v="3"/>
    <n v="1049"/>
    <n v="8"/>
    <x v="56"/>
  </r>
  <r>
    <x v="1"/>
    <n v="3"/>
    <n v="1041"/>
    <n v="2"/>
    <x v="106"/>
  </r>
  <r>
    <x v="1"/>
    <n v="3"/>
    <n v="1734"/>
    <n v="16"/>
    <x v="65"/>
  </r>
  <r>
    <x v="1"/>
    <n v="3"/>
    <n v="1144"/>
    <n v="19"/>
    <x v="97"/>
  </r>
  <r>
    <x v="1"/>
    <n v="3"/>
    <n v="1130"/>
    <n v="21"/>
    <x v="83"/>
  </r>
  <r>
    <x v="1"/>
    <n v="3"/>
    <n v="780"/>
    <n v="14"/>
    <x v="194"/>
  </r>
  <r>
    <x v="1"/>
    <n v="3"/>
    <n v="1627"/>
    <n v="7"/>
    <x v="26"/>
  </r>
  <r>
    <x v="1"/>
    <n v="3"/>
    <n v="1909"/>
    <n v="17"/>
    <x v="67"/>
  </r>
  <r>
    <x v="1"/>
    <n v="3"/>
    <n v="1471"/>
    <n v="7"/>
    <x v="92"/>
  </r>
  <r>
    <x v="1"/>
    <n v="3"/>
    <n v="1196"/>
    <n v="14"/>
    <x v="185"/>
  </r>
  <r>
    <x v="1"/>
    <n v="3"/>
    <n v="1181"/>
    <n v="22"/>
    <x v="101"/>
  </r>
  <r>
    <x v="1"/>
    <n v="3"/>
    <n v="1346"/>
    <n v="10"/>
    <x v="141"/>
  </r>
  <r>
    <x v="1"/>
    <n v="3"/>
    <n v="1510"/>
    <n v="11"/>
    <x v="12"/>
  </r>
  <r>
    <x v="1"/>
    <n v="3"/>
    <n v="1521"/>
    <n v="7"/>
    <x v="2"/>
  </r>
  <r>
    <x v="1"/>
    <n v="3"/>
    <n v="1494"/>
    <n v="16"/>
    <x v="127"/>
  </r>
  <r>
    <x v="1"/>
    <n v="3"/>
    <n v="1043"/>
    <n v="7"/>
    <x v="10"/>
  </r>
  <r>
    <x v="1"/>
    <n v="3"/>
    <n v="1452"/>
    <n v="5"/>
    <x v="245"/>
  </r>
  <r>
    <x v="1"/>
    <n v="3"/>
    <n v="999"/>
    <n v="14"/>
    <x v="99"/>
  </r>
  <r>
    <x v="1"/>
    <n v="3"/>
    <n v="630"/>
    <n v="1"/>
    <x v="246"/>
  </r>
  <r>
    <x v="1"/>
    <n v="3"/>
    <n v="1995"/>
    <n v="8"/>
    <x v="190"/>
  </r>
  <r>
    <x v="1"/>
    <n v="3"/>
    <n v="620"/>
    <n v="4"/>
    <x v="69"/>
  </r>
  <r>
    <x v="1"/>
    <n v="3"/>
    <n v="1522"/>
    <n v="9"/>
    <x v="247"/>
  </r>
  <r>
    <x v="1"/>
    <n v="3"/>
    <n v="1283"/>
    <n v="7"/>
    <x v="201"/>
  </r>
  <r>
    <x v="1"/>
    <n v="3"/>
    <n v="1054"/>
    <n v="18"/>
    <x v="117"/>
  </r>
  <r>
    <x v="1"/>
    <n v="3"/>
    <n v="771"/>
    <n v="11"/>
    <x v="111"/>
  </r>
  <r>
    <x v="1"/>
    <n v="3"/>
    <n v="2214"/>
    <n v="20"/>
    <x v="211"/>
  </r>
  <r>
    <x v="1"/>
    <n v="3"/>
    <n v="1068"/>
    <n v="1"/>
    <x v="194"/>
  </r>
  <r>
    <x v="1"/>
    <n v="3"/>
    <n v="610"/>
    <n v="18"/>
    <x v="91"/>
  </r>
  <r>
    <x v="1"/>
    <n v="3"/>
    <n v="1577"/>
    <n v="16"/>
    <x v="10"/>
  </r>
  <r>
    <x v="1"/>
    <n v="3"/>
    <n v="1376"/>
    <n v="16"/>
    <x v="224"/>
  </r>
  <r>
    <x v="1"/>
    <n v="3"/>
    <n v="1334"/>
    <n v="9"/>
    <x v="128"/>
  </r>
  <r>
    <x v="1"/>
    <n v="3"/>
    <n v="585"/>
    <n v="11"/>
    <x v="141"/>
  </r>
  <r>
    <x v="1"/>
    <n v="3"/>
    <n v="984"/>
    <n v="5"/>
    <x v="172"/>
  </r>
  <r>
    <x v="1"/>
    <n v="3"/>
    <n v="972"/>
    <n v="1"/>
    <x v="168"/>
  </r>
  <r>
    <x v="1"/>
    <n v="3"/>
    <n v="1643"/>
    <n v="14"/>
    <x v="125"/>
  </r>
  <r>
    <x v="1"/>
    <n v="3"/>
    <n v="1183"/>
    <n v="9"/>
    <x v="171"/>
  </r>
  <r>
    <x v="1"/>
    <n v="3"/>
    <n v="88"/>
    <n v="6"/>
    <x v="209"/>
  </r>
  <r>
    <x v="1"/>
    <n v="3"/>
    <n v="1119"/>
    <n v="21"/>
    <x v="20"/>
  </r>
  <r>
    <x v="1"/>
    <n v="3"/>
    <n v="1717"/>
    <n v="11"/>
    <x v="125"/>
  </r>
  <r>
    <x v="1"/>
    <n v="3"/>
    <n v="1453"/>
    <n v="14"/>
    <x v="81"/>
  </r>
  <r>
    <x v="1"/>
    <n v="3"/>
    <n v="1095"/>
    <n v="10"/>
    <x v="108"/>
  </r>
  <r>
    <x v="1"/>
    <n v="3"/>
    <n v="1161"/>
    <n v="8"/>
    <x v="241"/>
  </r>
  <r>
    <x v="1"/>
    <n v="3"/>
    <n v="1335"/>
    <n v="7"/>
    <x v="140"/>
  </r>
  <r>
    <x v="1"/>
    <n v="3"/>
    <n v="1433"/>
    <n v="18"/>
    <x v="17"/>
  </r>
  <r>
    <x v="1"/>
    <n v="3"/>
    <n v="1005"/>
    <n v="19"/>
    <x v="248"/>
  </r>
  <r>
    <x v="1"/>
    <n v="3"/>
    <n v="1407"/>
    <n v="19"/>
    <x v="241"/>
  </r>
  <r>
    <x v="1"/>
    <n v="3"/>
    <n v="1319"/>
    <n v="15"/>
    <x v="156"/>
  </r>
  <r>
    <x v="1"/>
    <n v="3"/>
    <n v="1279"/>
    <n v="16"/>
    <x v="57"/>
  </r>
  <r>
    <x v="1"/>
    <n v="3"/>
    <n v="1210"/>
    <n v="14"/>
    <x v="128"/>
  </r>
  <r>
    <x v="1"/>
    <n v="3"/>
    <n v="1460"/>
    <n v="1"/>
    <x v="219"/>
  </r>
  <r>
    <x v="1"/>
    <n v="3"/>
    <n v="1138"/>
    <n v="16"/>
    <x v="98"/>
  </r>
  <r>
    <x v="1"/>
    <n v="3"/>
    <n v="1348"/>
    <n v="4"/>
    <x v="141"/>
  </r>
  <r>
    <x v="1"/>
    <n v="3"/>
    <n v="1782"/>
    <n v="13"/>
    <x v="53"/>
  </r>
  <r>
    <x v="1"/>
    <n v="3"/>
    <n v="1220"/>
    <n v="8"/>
    <x v="125"/>
  </r>
  <r>
    <x v="1"/>
    <n v="3"/>
    <n v="1327"/>
    <n v="9"/>
    <x v="77"/>
  </r>
  <r>
    <x v="1"/>
    <n v="3"/>
    <n v="791"/>
    <n v="13"/>
    <x v="40"/>
  </r>
  <r>
    <x v="1"/>
    <n v="3"/>
    <n v="1493"/>
    <n v="13"/>
    <x v="57"/>
  </r>
  <r>
    <x v="1"/>
    <n v="3"/>
    <n v="1498"/>
    <n v="16"/>
    <x v="108"/>
  </r>
  <r>
    <x v="1"/>
    <n v="3"/>
    <n v="1121"/>
    <n v="10"/>
    <x v="88"/>
  </r>
  <r>
    <x v="1"/>
    <n v="3"/>
    <n v="1253"/>
    <n v="15"/>
    <x v="179"/>
  </r>
  <r>
    <x v="1"/>
    <n v="3"/>
    <n v="1738"/>
    <n v="17"/>
    <x v="78"/>
  </r>
  <r>
    <x v="1"/>
    <n v="3"/>
    <n v="1409"/>
    <n v="18"/>
    <x v="131"/>
  </r>
  <r>
    <x v="1"/>
    <n v="3"/>
    <n v="1018"/>
    <n v="12"/>
    <x v="8"/>
  </r>
  <r>
    <x v="1"/>
    <n v="3"/>
    <n v="1663"/>
    <n v="12"/>
    <x v="249"/>
  </r>
  <r>
    <x v="1"/>
    <n v="3"/>
    <n v="882"/>
    <n v="10"/>
    <x v="185"/>
  </r>
  <r>
    <x v="1"/>
    <n v="3"/>
    <n v="1245"/>
    <n v="13"/>
    <x v="36"/>
  </r>
  <r>
    <x v="1"/>
    <n v="3"/>
    <n v="723"/>
    <n v="3"/>
    <x v="250"/>
  </r>
  <r>
    <x v="1"/>
    <n v="3"/>
    <n v="1423"/>
    <n v="11"/>
    <x v="193"/>
  </r>
  <r>
    <x v="1"/>
    <n v="3"/>
    <n v="1334"/>
    <n v="23"/>
    <x v="175"/>
  </r>
  <r>
    <x v="1"/>
    <n v="3"/>
    <n v="578"/>
    <n v="20"/>
    <x v="65"/>
  </r>
  <r>
    <x v="1"/>
    <n v="3"/>
    <n v="778"/>
    <n v="5"/>
    <x v="221"/>
  </r>
  <r>
    <x v="1"/>
    <n v="3"/>
    <n v="917"/>
    <n v="13"/>
    <x v="141"/>
  </r>
  <r>
    <x v="1"/>
    <n v="3"/>
    <n v="852"/>
    <n v="14"/>
    <x v="6"/>
  </r>
  <r>
    <x v="1"/>
    <n v="3"/>
    <n v="1142"/>
    <n v="13"/>
    <x v="158"/>
  </r>
  <r>
    <x v="1"/>
    <n v="3"/>
    <n v="930"/>
    <n v="16"/>
    <x v="234"/>
  </r>
  <r>
    <x v="1"/>
    <n v="3"/>
    <n v="1213"/>
    <n v="9"/>
    <x v="99"/>
  </r>
  <r>
    <x v="1"/>
    <n v="3"/>
    <n v="1218"/>
    <n v="11"/>
    <x v="251"/>
  </r>
  <r>
    <x v="1"/>
    <n v="3"/>
    <n v="1193"/>
    <n v="7"/>
    <x v="89"/>
  </r>
  <r>
    <x v="1"/>
    <n v="3"/>
    <n v="1082"/>
    <n v="16"/>
    <x v="245"/>
  </r>
  <r>
    <x v="1"/>
    <n v="3"/>
    <n v="1457"/>
    <n v="13"/>
    <x v="252"/>
  </r>
  <r>
    <x v="1"/>
    <n v="3"/>
    <n v="1519"/>
    <n v="12"/>
    <x v="146"/>
  </r>
  <r>
    <x v="1"/>
    <n v="3"/>
    <n v="344"/>
    <n v="14"/>
    <x v="71"/>
  </r>
  <r>
    <x v="1"/>
    <n v="3"/>
    <n v="1292"/>
    <n v="11"/>
    <x v="74"/>
  </r>
  <r>
    <x v="1"/>
    <n v="3"/>
    <n v="1589"/>
    <n v="9"/>
    <x v="121"/>
  </r>
  <r>
    <x v="1"/>
    <n v="3"/>
    <n v="1510"/>
    <n v="7"/>
    <x v="2"/>
  </r>
  <r>
    <x v="1"/>
    <n v="3"/>
    <n v="872"/>
    <n v="12"/>
    <x v="85"/>
  </r>
  <r>
    <x v="1"/>
    <n v="3"/>
    <n v="954"/>
    <n v="17"/>
    <x v="253"/>
  </r>
  <r>
    <x v="1"/>
    <n v="3"/>
    <n v="1075"/>
    <n v="12"/>
    <x v="87"/>
  </r>
  <r>
    <x v="1"/>
    <n v="3"/>
    <n v="800"/>
    <n v="14"/>
    <x v="254"/>
  </r>
  <r>
    <x v="1"/>
    <n v="3"/>
    <n v="335"/>
    <n v="18"/>
    <x v="4"/>
  </r>
  <r>
    <x v="1"/>
    <n v="3"/>
    <n v="1483"/>
    <n v="16"/>
    <x v="220"/>
  </r>
  <r>
    <x v="1"/>
    <n v="3"/>
    <n v="773"/>
    <n v="6"/>
    <x v="36"/>
  </r>
  <r>
    <x v="1"/>
    <n v="3"/>
    <n v="951"/>
    <n v="15"/>
    <x v="166"/>
  </r>
  <r>
    <x v="1"/>
    <n v="3"/>
    <n v="1165"/>
    <n v="17"/>
    <x v="217"/>
  </r>
  <r>
    <x v="1"/>
    <n v="3"/>
    <n v="595"/>
    <n v="15"/>
    <x v="240"/>
  </r>
  <r>
    <x v="1"/>
    <n v="3"/>
    <n v="978"/>
    <n v="13"/>
    <x v="55"/>
  </r>
  <r>
    <x v="1"/>
    <n v="3"/>
    <n v="1052"/>
    <n v="12"/>
    <x v="146"/>
  </r>
  <r>
    <x v="1"/>
    <n v="3"/>
    <n v="1263"/>
    <n v="8"/>
    <x v="124"/>
  </r>
  <r>
    <x v="1"/>
    <n v="3"/>
    <n v="1216"/>
    <n v="6"/>
    <x v="116"/>
  </r>
  <r>
    <x v="1"/>
    <n v="3"/>
    <n v="1027"/>
    <n v="14"/>
    <x v="84"/>
  </r>
  <r>
    <x v="1"/>
    <n v="3"/>
    <n v="1249"/>
    <n v="15"/>
    <x v="97"/>
  </r>
  <r>
    <x v="1"/>
    <n v="3"/>
    <n v="689"/>
    <n v="18"/>
    <x v="65"/>
  </r>
  <r>
    <x v="1"/>
    <n v="3"/>
    <n v="1579"/>
    <n v="6"/>
    <x v="164"/>
  </r>
  <r>
    <x v="1"/>
    <n v="3"/>
    <n v="283"/>
    <n v="4"/>
    <x v="255"/>
  </r>
  <r>
    <x v="1"/>
    <n v="3"/>
    <n v="1001"/>
    <n v="9"/>
    <x v="60"/>
  </r>
  <r>
    <x v="1"/>
    <n v="3"/>
    <n v="774"/>
    <n v="10"/>
    <x v="127"/>
  </r>
  <r>
    <x v="1"/>
    <n v="3"/>
    <n v="785"/>
    <n v="11"/>
    <x v="235"/>
  </r>
  <r>
    <x v="1"/>
    <n v="3"/>
    <n v="1220"/>
    <n v="6"/>
    <x v="146"/>
  </r>
  <r>
    <x v="1"/>
    <n v="3"/>
    <n v="864"/>
    <n v="12"/>
    <x v="155"/>
  </r>
  <r>
    <x v="1"/>
    <n v="3"/>
    <n v="1304"/>
    <n v="8"/>
    <x v="193"/>
  </r>
  <r>
    <x v="1"/>
    <n v="3"/>
    <n v="1475"/>
    <n v="12"/>
    <x v="256"/>
  </r>
  <r>
    <x v="1"/>
    <n v="3"/>
    <n v="771"/>
    <n v="1"/>
    <x v="111"/>
  </r>
  <r>
    <x v="1"/>
    <n v="3"/>
    <n v="1149"/>
    <n v="18"/>
    <x v="94"/>
  </r>
  <r>
    <x v="1"/>
    <n v="3"/>
    <n v="698"/>
    <n v="19"/>
    <x v="52"/>
  </r>
  <r>
    <x v="1"/>
    <n v="3"/>
    <n v="1482"/>
    <n v="20"/>
    <x v="187"/>
  </r>
  <r>
    <x v="1"/>
    <n v="3"/>
    <n v="1608"/>
    <n v="11"/>
    <x v="257"/>
  </r>
  <r>
    <x v="1"/>
    <n v="3"/>
    <n v="1336"/>
    <n v="11"/>
    <x v="114"/>
  </r>
  <r>
    <x v="1"/>
    <n v="3"/>
    <n v="1831"/>
    <n v="22"/>
    <x v="159"/>
  </r>
  <r>
    <x v="1"/>
    <n v="3"/>
    <n v="1737"/>
    <n v="21"/>
    <x v="33"/>
  </r>
  <r>
    <x v="1"/>
    <n v="3"/>
    <n v="1357"/>
    <n v="15"/>
    <x v="135"/>
  </r>
  <r>
    <x v="1"/>
    <n v="3"/>
    <n v="1570"/>
    <n v="6"/>
    <x v="44"/>
  </r>
  <r>
    <x v="1"/>
    <n v="3"/>
    <n v="1275"/>
    <n v="11"/>
    <x v="49"/>
  </r>
  <r>
    <x v="1"/>
    <n v="3"/>
    <n v="1348"/>
    <n v="14"/>
    <x v="24"/>
  </r>
  <r>
    <x v="1"/>
    <n v="3"/>
    <n v="1246"/>
    <n v="8"/>
    <x v="1"/>
  </r>
  <r>
    <x v="1"/>
    <n v="3"/>
    <n v="786"/>
    <n v="6"/>
    <x v="44"/>
  </r>
  <r>
    <x v="1"/>
    <n v="3"/>
    <n v="1174"/>
    <n v="17"/>
    <x v="59"/>
  </r>
  <r>
    <x v="1"/>
    <n v="3"/>
    <n v="1793"/>
    <n v="1"/>
    <x v="141"/>
  </r>
  <r>
    <x v="1"/>
    <n v="3"/>
    <n v="1169"/>
    <n v="4"/>
    <x v="214"/>
  </r>
  <r>
    <x v="1"/>
    <n v="3"/>
    <n v="834"/>
    <n v="23"/>
    <x v="239"/>
  </r>
  <r>
    <x v="1"/>
    <n v="3"/>
    <n v="1720"/>
    <n v="13"/>
    <x v="247"/>
  </r>
  <r>
    <x v="1"/>
    <n v="3"/>
    <n v="581"/>
    <n v="10"/>
    <x v="7"/>
  </r>
  <r>
    <x v="1"/>
    <n v="3"/>
    <n v="888"/>
    <n v="9"/>
    <x v="199"/>
  </r>
  <r>
    <x v="1"/>
    <n v="3"/>
    <n v="1303"/>
    <n v="17"/>
    <x v="201"/>
  </r>
  <r>
    <x v="1"/>
    <n v="3"/>
    <n v="835"/>
    <n v="11"/>
    <x v="54"/>
  </r>
  <r>
    <x v="1"/>
    <n v="3"/>
    <n v="1597"/>
    <n v="14"/>
    <x v="54"/>
  </r>
  <r>
    <x v="1"/>
    <n v="3"/>
    <n v="789"/>
    <n v="13"/>
    <x v="24"/>
  </r>
  <r>
    <x v="1"/>
    <n v="3"/>
    <n v="1917"/>
    <n v="12"/>
    <x v="125"/>
  </r>
  <r>
    <x v="1"/>
    <n v="3"/>
    <n v="1662"/>
    <n v="14"/>
    <x v="0"/>
  </r>
  <r>
    <x v="1"/>
    <n v="3"/>
    <n v="2188"/>
    <n v="24"/>
    <x v="258"/>
  </r>
  <r>
    <x v="1"/>
    <n v="3"/>
    <n v="1348"/>
    <n v="26"/>
    <x v="175"/>
  </r>
  <r>
    <x v="1"/>
    <n v="3"/>
    <n v="1735"/>
    <n v="15"/>
    <x v="36"/>
  </r>
  <r>
    <x v="1"/>
    <n v="3"/>
    <n v="700"/>
    <n v="17"/>
    <x v="122"/>
  </r>
  <r>
    <x v="1"/>
    <n v="3"/>
    <n v="1195"/>
    <n v="22"/>
    <x v="259"/>
  </r>
  <r>
    <x v="1"/>
    <n v="3"/>
    <n v="1681"/>
    <n v="8"/>
    <x v="40"/>
  </r>
  <r>
    <x v="1"/>
    <n v="3"/>
    <n v="1475"/>
    <n v="21"/>
    <x v="190"/>
  </r>
  <r>
    <x v="1"/>
    <n v="3"/>
    <n v="1474"/>
    <n v="9"/>
    <x v="141"/>
  </r>
  <r>
    <x v="1"/>
    <n v="3"/>
    <n v="1385"/>
    <n v="11"/>
    <x v="61"/>
  </r>
  <r>
    <x v="1"/>
    <n v="3"/>
    <n v="1876"/>
    <n v="4"/>
    <x v="77"/>
  </r>
  <r>
    <x v="1"/>
    <n v="3"/>
    <n v="1212"/>
    <n v="4"/>
    <x v="88"/>
  </r>
  <r>
    <x v="1"/>
    <n v="3"/>
    <n v="1028"/>
    <n v="15"/>
    <x v="31"/>
  </r>
  <r>
    <x v="1"/>
    <n v="3"/>
    <n v="1163"/>
    <n v="15"/>
    <x v="258"/>
  </r>
  <r>
    <x v="1"/>
    <n v="3"/>
    <n v="649"/>
    <n v="14"/>
    <x v="7"/>
  </r>
  <r>
    <x v="1"/>
    <n v="3"/>
    <n v="1558"/>
    <n v="16"/>
    <x v="107"/>
  </r>
  <r>
    <x v="1"/>
    <n v="3"/>
    <n v="1219"/>
    <n v="4"/>
    <x v="114"/>
  </r>
  <r>
    <x v="1"/>
    <n v="3"/>
    <n v="1277"/>
    <n v="15"/>
    <x v="118"/>
  </r>
  <r>
    <x v="1"/>
    <n v="3"/>
    <n v="1398"/>
    <n v="13"/>
    <x v="65"/>
  </r>
  <r>
    <x v="1"/>
    <n v="3"/>
    <n v="1029"/>
    <n v="9"/>
    <x v="67"/>
  </r>
  <r>
    <x v="1"/>
    <n v="3"/>
    <n v="919"/>
    <n v="15"/>
    <x v="201"/>
  </r>
  <r>
    <x v="1"/>
    <n v="3"/>
    <n v="1844"/>
    <n v="11"/>
    <x v="73"/>
  </r>
  <r>
    <x v="1"/>
    <n v="3"/>
    <n v="1220"/>
    <n v="19"/>
    <x v="46"/>
  </r>
  <r>
    <x v="1"/>
    <n v="3"/>
    <n v="1538"/>
    <n v="13"/>
    <x v="253"/>
  </r>
  <r>
    <x v="1"/>
    <n v="3"/>
    <n v="1181"/>
    <n v="14"/>
    <x v="190"/>
  </r>
  <r>
    <x v="1"/>
    <n v="3"/>
    <n v="1098"/>
    <n v="8"/>
    <x v="156"/>
  </r>
  <r>
    <x v="1"/>
    <n v="3"/>
    <n v="1169"/>
    <n v="13"/>
    <x v="12"/>
  </r>
  <r>
    <x v="1"/>
    <n v="3"/>
    <n v="486"/>
    <n v="17"/>
    <x v="14"/>
  </r>
  <r>
    <x v="1"/>
    <n v="3"/>
    <n v="1189"/>
    <n v="14"/>
    <x v="72"/>
  </r>
  <r>
    <x v="1"/>
    <n v="3"/>
    <n v="1433"/>
    <n v="11"/>
    <x v="200"/>
  </r>
  <r>
    <x v="1"/>
    <n v="3"/>
    <n v="1507"/>
    <n v="16"/>
    <x v="50"/>
  </r>
  <r>
    <x v="1"/>
    <n v="3"/>
    <n v="1110"/>
    <n v="19"/>
    <x v="93"/>
  </r>
  <r>
    <x v="1"/>
    <n v="3"/>
    <n v="1237"/>
    <n v="8"/>
    <x v="260"/>
  </r>
  <r>
    <x v="1"/>
    <n v="3"/>
    <n v="1182"/>
    <n v="21"/>
    <x v="148"/>
  </r>
  <r>
    <x v="1"/>
    <n v="3"/>
    <n v="1383"/>
    <n v="9"/>
    <x v="120"/>
  </r>
  <r>
    <x v="1"/>
    <n v="3"/>
    <n v="1318"/>
    <n v="5"/>
    <x v="79"/>
  </r>
  <r>
    <x v="1"/>
    <n v="3"/>
    <n v="1018"/>
    <n v="15"/>
    <x v="193"/>
  </r>
  <r>
    <x v="1"/>
    <n v="3"/>
    <n v="814"/>
    <n v="18"/>
    <x v="117"/>
  </r>
  <r>
    <x v="1"/>
    <n v="3"/>
    <n v="938"/>
    <n v="9"/>
    <x v="171"/>
  </r>
  <r>
    <x v="1"/>
    <n v="3"/>
    <n v="1433"/>
    <n v="13"/>
    <x v="184"/>
  </r>
  <r>
    <x v="1"/>
    <n v="3"/>
    <n v="1076"/>
    <n v="13"/>
    <x v="147"/>
  </r>
  <r>
    <x v="1"/>
    <n v="3"/>
    <n v="1309"/>
    <n v="20"/>
    <x v="146"/>
  </r>
  <r>
    <x v="1"/>
    <n v="3"/>
    <n v="1463"/>
    <n v="20"/>
    <x v="261"/>
  </r>
  <r>
    <x v="1"/>
    <n v="3"/>
    <n v="1097"/>
    <n v="15"/>
    <x v="75"/>
  </r>
  <r>
    <x v="1"/>
    <n v="3"/>
    <n v="1298"/>
    <n v="16"/>
    <x v="211"/>
  </r>
  <r>
    <x v="1"/>
    <n v="3"/>
    <n v="1651"/>
    <n v="9"/>
    <x v="62"/>
  </r>
  <r>
    <x v="1"/>
    <n v="3"/>
    <n v="1335"/>
    <n v="6"/>
    <x v="78"/>
  </r>
  <r>
    <x v="1"/>
    <n v="3"/>
    <n v="2021"/>
    <n v="9"/>
    <x v="6"/>
  </r>
  <r>
    <x v="1"/>
    <n v="3"/>
    <n v="1145"/>
    <n v="12"/>
    <x v="186"/>
  </r>
  <r>
    <x v="1"/>
    <n v="3"/>
    <n v="1644"/>
    <n v="15"/>
    <x v="158"/>
  </r>
  <r>
    <x v="1"/>
    <n v="3"/>
    <n v="1567"/>
    <n v="14"/>
    <x v="135"/>
  </r>
  <r>
    <x v="1"/>
    <n v="3"/>
    <n v="1005"/>
    <n v="8"/>
    <x v="50"/>
  </r>
  <r>
    <x v="1"/>
    <n v="3"/>
    <n v="1596"/>
    <n v="14"/>
    <x v="108"/>
  </r>
  <r>
    <x v="1"/>
    <n v="3"/>
    <n v="1573"/>
    <n v="17"/>
    <x v="11"/>
  </r>
  <r>
    <x v="1"/>
    <n v="3"/>
    <n v="1717"/>
    <n v="12"/>
    <x v="118"/>
  </r>
  <r>
    <x v="1"/>
    <n v="3"/>
    <n v="1237"/>
    <n v="19"/>
    <x v="62"/>
  </r>
  <r>
    <x v="1"/>
    <n v="3"/>
    <n v="1062"/>
    <n v="3"/>
    <x v="7"/>
  </r>
  <r>
    <x v="1"/>
    <n v="3"/>
    <n v="671"/>
    <n v="19"/>
    <x v="156"/>
  </r>
  <r>
    <x v="1"/>
    <n v="3"/>
    <n v="1286"/>
    <n v="11"/>
    <x v="28"/>
  </r>
  <r>
    <x v="1"/>
    <n v="3"/>
    <n v="1023"/>
    <n v="22"/>
    <x v="62"/>
  </r>
  <r>
    <x v="1"/>
    <n v="3"/>
    <n v="1161"/>
    <n v="12"/>
    <x v="141"/>
  </r>
  <r>
    <x v="1"/>
    <n v="3"/>
    <n v="1600"/>
    <n v="4"/>
    <x v="43"/>
  </r>
  <r>
    <x v="1"/>
    <n v="3"/>
    <n v="257"/>
    <n v="14"/>
    <x v="74"/>
  </r>
  <r>
    <x v="1"/>
    <n v="3"/>
    <n v="1732"/>
    <n v="15"/>
    <x v="141"/>
  </r>
  <r>
    <x v="1"/>
    <n v="3"/>
    <n v="1154"/>
    <n v="14"/>
    <x v="262"/>
  </r>
  <r>
    <x v="1"/>
    <n v="3"/>
    <n v="1349"/>
    <n v="17"/>
    <x v="148"/>
  </r>
  <r>
    <x v="1"/>
    <n v="3"/>
    <n v="1364"/>
    <n v="9"/>
    <x v="263"/>
  </r>
  <r>
    <x v="1"/>
    <n v="3"/>
    <n v="589"/>
    <n v="17"/>
    <x v="108"/>
  </r>
  <r>
    <x v="1"/>
    <n v="3"/>
    <n v="1236"/>
    <n v="9"/>
    <x v="34"/>
  </r>
  <r>
    <x v="1"/>
    <n v="3"/>
    <n v="1366"/>
    <n v="5"/>
    <x v="120"/>
  </r>
  <r>
    <x v="1"/>
    <n v="3"/>
    <n v="1016"/>
    <n v="9"/>
    <x v="73"/>
  </r>
  <r>
    <x v="1"/>
    <n v="3"/>
    <n v="610"/>
    <n v="13"/>
    <x v="49"/>
  </r>
  <r>
    <x v="1"/>
    <n v="3"/>
    <n v="1266"/>
    <n v="5"/>
    <x v="4"/>
  </r>
  <r>
    <x v="1"/>
    <n v="3"/>
    <n v="1582"/>
    <n v="10"/>
    <x v="132"/>
  </r>
  <r>
    <x v="1"/>
    <n v="3"/>
    <n v="1290"/>
    <n v="15"/>
    <x v="93"/>
  </r>
  <r>
    <x v="1"/>
    <n v="3"/>
    <n v="961"/>
    <n v="14"/>
    <x v="120"/>
  </r>
  <r>
    <x v="1"/>
    <n v="3"/>
    <n v="1852"/>
    <n v="14"/>
    <x v="260"/>
  </r>
  <r>
    <x v="1"/>
    <n v="3"/>
    <n v="1116"/>
    <n v="12"/>
    <x v="181"/>
  </r>
  <r>
    <x v="1"/>
    <n v="3"/>
    <n v="1562"/>
    <n v="18"/>
    <x v="100"/>
  </r>
  <r>
    <x v="1"/>
    <n v="3"/>
    <n v="1579"/>
    <n v="4"/>
    <x v="156"/>
  </r>
  <r>
    <x v="1"/>
    <n v="3"/>
    <n v="2272"/>
    <n v="8"/>
    <x v="120"/>
  </r>
  <r>
    <x v="1"/>
    <n v="3"/>
    <n v="1091"/>
    <n v="12"/>
    <x v="239"/>
  </r>
  <r>
    <x v="1"/>
    <n v="3"/>
    <n v="350"/>
    <n v="8"/>
    <x v="52"/>
  </r>
  <r>
    <x v="1"/>
    <n v="3"/>
    <n v="1351"/>
    <n v="17"/>
    <x v="72"/>
  </r>
  <r>
    <x v="1"/>
    <n v="3"/>
    <n v="969"/>
    <n v="15"/>
    <x v="185"/>
  </r>
  <r>
    <x v="1"/>
    <n v="3"/>
    <n v="1291"/>
    <n v="6"/>
    <x v="261"/>
  </r>
  <r>
    <x v="1"/>
    <n v="3"/>
    <n v="1477"/>
    <n v="12"/>
    <x v="235"/>
  </r>
  <r>
    <x v="1"/>
    <n v="3"/>
    <n v="733"/>
    <n v="17"/>
    <x v="70"/>
  </r>
  <r>
    <x v="1"/>
    <n v="3"/>
    <n v="584"/>
    <n v="22"/>
    <x v="57"/>
  </r>
  <r>
    <x v="1"/>
    <n v="3"/>
    <n v="709"/>
    <n v="14"/>
    <x v="125"/>
  </r>
  <r>
    <x v="1"/>
    <n v="3"/>
    <n v="894"/>
    <n v="6"/>
    <x v="89"/>
  </r>
  <r>
    <x v="1"/>
    <n v="3"/>
    <n v="1082"/>
    <n v="10"/>
    <x v="208"/>
  </r>
  <r>
    <x v="1"/>
    <n v="3"/>
    <n v="1414"/>
    <n v="14"/>
    <x v="124"/>
  </r>
  <r>
    <x v="1"/>
    <n v="3"/>
    <n v="1524"/>
    <n v="19"/>
    <x v="93"/>
  </r>
  <r>
    <x v="1"/>
    <n v="3"/>
    <n v="960"/>
    <n v="14"/>
    <x v="120"/>
  </r>
  <r>
    <x v="1"/>
    <n v="3"/>
    <n v="789"/>
    <n v="4"/>
    <x v="219"/>
  </r>
  <r>
    <x v="1"/>
    <n v="3"/>
    <n v="1012"/>
    <n v="9"/>
    <x v="162"/>
  </r>
  <r>
    <x v="1"/>
    <n v="3"/>
    <n v="1521"/>
    <n v="14"/>
    <x v="50"/>
  </r>
  <r>
    <x v="1"/>
    <n v="3"/>
    <n v="1401"/>
    <n v="21"/>
    <x v="218"/>
  </r>
  <r>
    <x v="1"/>
    <n v="3"/>
    <n v="1638"/>
    <n v="10"/>
    <x v="60"/>
  </r>
  <r>
    <x v="1"/>
    <n v="3"/>
    <n v="824"/>
    <n v="15"/>
    <x v="264"/>
  </r>
  <r>
    <x v="1"/>
    <n v="3"/>
    <n v="1644"/>
    <n v="18"/>
    <x v="265"/>
  </r>
  <r>
    <x v="1"/>
    <n v="3"/>
    <n v="1354"/>
    <n v="13"/>
    <x v="76"/>
  </r>
  <r>
    <x v="1"/>
    <n v="3"/>
    <n v="822"/>
    <n v="9"/>
    <x v="209"/>
  </r>
  <r>
    <x v="1"/>
    <n v="3"/>
    <n v="1093"/>
    <n v="7"/>
    <x v="109"/>
  </r>
  <r>
    <x v="1"/>
    <n v="3"/>
    <n v="1310"/>
    <n v="12"/>
    <x v="73"/>
  </r>
  <r>
    <x v="1"/>
    <n v="3"/>
    <n v="1193"/>
    <n v="8"/>
    <x v="68"/>
  </r>
  <r>
    <x v="1"/>
    <n v="3"/>
    <n v="1606"/>
    <n v="6"/>
    <x v="72"/>
  </r>
  <r>
    <x v="1"/>
    <n v="3"/>
    <n v="1710"/>
    <n v="15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9B73D-A14F-4014-90F6-F99792604B57}" name="피벗 테이블6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N26:O29" firstHeaderRow="1" firstDataRow="1" firstDataCol="1"/>
  <pivotFields count="5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개수 : Interest" fld="4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DA03C-BA00-4C94-A4ED-1E240FB987FC}" name="피벗 테이블4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N21:O24" firstHeaderRow="1" firstDataRow="1" firstDataCol="1"/>
  <pivotFields count="5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267">
        <item x="141"/>
        <item x="178"/>
        <item x="238"/>
        <item x="245"/>
        <item x="204"/>
        <item x="265"/>
        <item x="183"/>
        <item x="33"/>
        <item x="152"/>
        <item x="254"/>
        <item x="261"/>
        <item x="199"/>
        <item x="196"/>
        <item x="159"/>
        <item x="123"/>
        <item x="177"/>
        <item x="212"/>
        <item x="75"/>
        <item x="115"/>
        <item x="258"/>
        <item x="153"/>
        <item x="133"/>
        <item x="28"/>
        <item x="248"/>
        <item x="260"/>
        <item x="161"/>
        <item x="63"/>
        <item x="205"/>
        <item x="163"/>
        <item x="252"/>
        <item x="247"/>
        <item x="198"/>
        <item x="144"/>
        <item x="249"/>
        <item x="165"/>
        <item x="224"/>
        <item x="184"/>
        <item x="235"/>
        <item x="220"/>
        <item x="95"/>
        <item x="83"/>
        <item x="175"/>
        <item x="74"/>
        <item x="230"/>
        <item x="239"/>
        <item x="17"/>
        <item x="237"/>
        <item x="189"/>
        <item x="112"/>
        <item x="213"/>
        <item x="139"/>
        <item x="101"/>
        <item x="211"/>
        <item x="203"/>
        <item x="215"/>
        <item x="231"/>
        <item x="147"/>
        <item x="73"/>
        <item x="57"/>
        <item x="186"/>
        <item x="140"/>
        <item x="169"/>
        <item x="51"/>
        <item x="124"/>
        <item x="127"/>
        <item x="148"/>
        <item x="126"/>
        <item x="264"/>
        <item x="129"/>
        <item x="12"/>
        <item x="79"/>
        <item x="200"/>
        <item x="39"/>
        <item x="24"/>
        <item x="171"/>
        <item x="138"/>
        <item x="113"/>
        <item x="218"/>
        <item x="243"/>
        <item x="118"/>
        <item x="72"/>
        <item x="120"/>
        <item x="106"/>
        <item x="1"/>
        <item x="62"/>
        <item x="117"/>
        <item x="114"/>
        <item x="194"/>
        <item x="53"/>
        <item x="122"/>
        <item x="108"/>
        <item x="131"/>
        <item x="121"/>
        <item x="90"/>
        <item x="193"/>
        <item x="81"/>
        <item x="43"/>
        <item x="22"/>
        <item x="116"/>
        <item x="100"/>
        <item x="87"/>
        <item x="225"/>
        <item x="172"/>
        <item x="181"/>
        <item x="55"/>
        <item x="98"/>
        <item x="2"/>
        <item x="94"/>
        <item x="166"/>
        <item x="190"/>
        <item x="49"/>
        <item x="206"/>
        <item x="105"/>
        <item x="54"/>
        <item x="67"/>
        <item x="241"/>
        <item x="50"/>
        <item x="77"/>
        <item x="38"/>
        <item x="96"/>
        <item x="97"/>
        <item x="88"/>
        <item x="156"/>
        <item x="157"/>
        <item x="201"/>
        <item x="185"/>
        <item x="109"/>
        <item x="10"/>
        <item x="104"/>
        <item x="208"/>
        <item x="9"/>
        <item x="84"/>
        <item x="41"/>
        <item x="8"/>
        <item x="173"/>
        <item x="36"/>
        <item x="176"/>
        <item x="6"/>
        <item x="32"/>
        <item x="150"/>
        <item x="11"/>
        <item x="65"/>
        <item x="59"/>
        <item x="162"/>
        <item x="146"/>
        <item x="132"/>
        <item x="179"/>
        <item x="125"/>
        <item x="47"/>
        <item x="14"/>
        <item x="167"/>
        <item x="85"/>
        <item x="234"/>
        <item x="197"/>
        <item x="256"/>
        <item x="187"/>
        <item x="3"/>
        <item x="164"/>
        <item x="0"/>
        <item x="52"/>
        <item x="48"/>
        <item x="40"/>
        <item x="71"/>
        <item x="35"/>
        <item x="188"/>
        <item x="89"/>
        <item x="135"/>
        <item x="29"/>
        <item x="227"/>
        <item x="70"/>
        <item x="137"/>
        <item x="107"/>
        <item x="21"/>
        <item x="60"/>
        <item x="168"/>
        <item x="31"/>
        <item x="19"/>
        <item x="214"/>
        <item x="92"/>
        <item x="78"/>
        <item x="136"/>
        <item x="221"/>
        <item x="46"/>
        <item x="111"/>
        <item x="128"/>
        <item x="158"/>
        <item x="91"/>
        <item x="263"/>
        <item x="93"/>
        <item x="20"/>
        <item x="44"/>
        <item x="58"/>
        <item x="119"/>
        <item x="45"/>
        <item x="64"/>
        <item x="180"/>
        <item x="30"/>
        <item x="170"/>
        <item x="130"/>
        <item x="99"/>
        <item x="219"/>
        <item x="4"/>
        <item x="110"/>
        <item x="37"/>
        <item x="102"/>
        <item x="223"/>
        <item x="61"/>
        <item x="149"/>
        <item x="56"/>
        <item x="217"/>
        <item x="262"/>
        <item x="16"/>
        <item x="82"/>
        <item x="26"/>
        <item x="259"/>
        <item x="192"/>
        <item x="154"/>
        <item x="5"/>
        <item x="236"/>
        <item x="7"/>
        <item x="222"/>
        <item x="69"/>
        <item x="229"/>
        <item x="195"/>
        <item x="25"/>
        <item x="13"/>
        <item x="66"/>
        <item x="134"/>
        <item x="145"/>
        <item x="191"/>
        <item x="174"/>
        <item x="68"/>
        <item x="255"/>
        <item x="253"/>
        <item x="155"/>
        <item x="76"/>
        <item x="207"/>
        <item x="34"/>
        <item x="18"/>
        <item x="209"/>
        <item x="242"/>
        <item x="23"/>
        <item x="27"/>
        <item x="182"/>
        <item x="143"/>
        <item x="228"/>
        <item x="257"/>
        <item x="151"/>
        <item x="86"/>
        <item x="216"/>
        <item x="202"/>
        <item x="142"/>
        <item x="226"/>
        <item x="103"/>
        <item x="251"/>
        <item x="250"/>
        <item x="240"/>
        <item x="246"/>
        <item x="15"/>
        <item x="160"/>
        <item x="233"/>
        <item x="80"/>
        <item x="42"/>
        <item x="232"/>
        <item x="244"/>
        <item x="21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평균 : Interest" fld="4" subtotal="average" baseField="0" baseItem="1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05A5-C57F-9C4E-A6BB-153BE6166137}">
  <dimension ref="A1:K18"/>
  <sheetViews>
    <sheetView workbookViewId="0">
      <selection activeCell="E25" sqref="E25"/>
    </sheetView>
  </sheetViews>
  <sheetFormatPr defaultColWidth="10.90625" defaultRowHeight="14"/>
  <cols>
    <col min="2" max="2" width="19.453125" customWidth="1"/>
    <col min="8" max="8" width="11.1796875" bestFit="1" customWidth="1"/>
    <col min="10" max="10" width="12.453125" bestFit="1" customWidth="1"/>
  </cols>
  <sheetData>
    <row r="1" spans="1:11" s="4" customFormat="1" ht="17.5">
      <c r="A1" s="4" t="s">
        <v>18</v>
      </c>
      <c r="B1" s="4" t="s">
        <v>33</v>
      </c>
    </row>
    <row r="2" spans="1:11" s="4" customFormat="1" ht="17.5">
      <c r="B2" s="4" t="s">
        <v>19</v>
      </c>
    </row>
    <row r="3" spans="1:11" s="4" customFormat="1" ht="17.5"/>
    <row r="4" spans="1:11" s="4" customFormat="1" ht="17.5">
      <c r="B4" s="6" t="s">
        <v>20</v>
      </c>
      <c r="C4" s="6">
        <v>0</v>
      </c>
      <c r="D4" s="6">
        <v>1</v>
      </c>
      <c r="E4" s="6">
        <v>2</v>
      </c>
      <c r="F4" s="6">
        <v>3</v>
      </c>
      <c r="G4" s="6" t="s">
        <v>34</v>
      </c>
    </row>
    <row r="5" spans="1:11" s="4" customFormat="1" ht="17.5">
      <c r="B5" s="5" t="s">
        <v>21</v>
      </c>
      <c r="C5" s="8">
        <f>1/8</f>
        <v>0.125</v>
      </c>
      <c r="D5" s="8">
        <f>3/8</f>
        <v>0.375</v>
      </c>
      <c r="E5" s="8">
        <f>3/8</f>
        <v>0.375</v>
      </c>
      <c r="F5" s="8">
        <f>1/8</f>
        <v>0.125</v>
      </c>
      <c r="G5" s="7">
        <f>SUM(C5:F5)</f>
        <v>1</v>
      </c>
    </row>
    <row r="6" spans="1:11" s="4" customFormat="1" ht="17.5">
      <c r="B6" s="5" t="s">
        <v>25</v>
      </c>
      <c r="C6" s="8">
        <f>C4*C5</f>
        <v>0</v>
      </c>
      <c r="D6" s="8">
        <f t="shared" ref="D6:F6" si="0">D4*D5</f>
        <v>0.375</v>
      </c>
      <c r="E6" s="8">
        <f t="shared" si="0"/>
        <v>0.75</v>
      </c>
      <c r="F6" s="8">
        <f t="shared" si="0"/>
        <v>0.375</v>
      </c>
      <c r="G6" s="10">
        <f t="shared" ref="G6:G7" si="1">SUM(C6:F6)</f>
        <v>1.5</v>
      </c>
      <c r="H6" s="4" t="s">
        <v>35</v>
      </c>
    </row>
    <row r="7" spans="1:11" s="4" customFormat="1" ht="17.5">
      <c r="B7" s="5" t="s">
        <v>26</v>
      </c>
      <c r="C7" s="9">
        <f>(C4-$G$6)^2*C5</f>
        <v>0.28125</v>
      </c>
      <c r="D7" s="9">
        <f t="shared" ref="D7:F7" si="2">(D4-$G$6)^2*D5</f>
        <v>9.375E-2</v>
      </c>
      <c r="E7" s="9">
        <f t="shared" si="2"/>
        <v>9.375E-2</v>
      </c>
      <c r="F7" s="9">
        <f t="shared" si="2"/>
        <v>0.28125</v>
      </c>
      <c r="G7" s="12">
        <f t="shared" si="1"/>
        <v>0.75</v>
      </c>
      <c r="H7" s="4" t="s">
        <v>36</v>
      </c>
    </row>
    <row r="8" spans="1:11" s="4" customFormat="1" ht="17.5">
      <c r="B8" s="5"/>
      <c r="C8" s="9"/>
      <c r="D8" s="9"/>
      <c r="E8" s="9"/>
      <c r="F8" s="9"/>
      <c r="G8" s="13">
        <f>SQRT(G7)</f>
        <v>0.8660254037844386</v>
      </c>
      <c r="H8" s="4" t="s">
        <v>37</v>
      </c>
    </row>
    <row r="9" spans="1:11" s="4" customFormat="1" ht="17.5">
      <c r="B9" s="4" t="s">
        <v>38</v>
      </c>
    </row>
    <row r="10" spans="1:11" s="4" customFormat="1" ht="17.5">
      <c r="B10" s="4" t="s">
        <v>39</v>
      </c>
    </row>
    <row r="11" spans="1:11" ht="17.5">
      <c r="B11" s="4"/>
      <c r="C11" s="11"/>
    </row>
    <row r="12" spans="1:11" ht="43" customHeight="1">
      <c r="A12" s="15" t="s">
        <v>40</v>
      </c>
      <c r="B12" s="29" t="s">
        <v>41</v>
      </c>
      <c r="C12" s="29"/>
      <c r="D12" s="29"/>
      <c r="E12" s="29"/>
      <c r="F12" s="29"/>
      <c r="G12" s="29"/>
      <c r="H12" s="29"/>
      <c r="I12" s="29"/>
      <c r="J12" s="29"/>
      <c r="K12" s="16"/>
    </row>
    <row r="13" spans="1:11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20" customHeight="1">
      <c r="A14" s="16"/>
      <c r="B14" s="18" t="s">
        <v>20</v>
      </c>
      <c r="C14" s="18">
        <v>2</v>
      </c>
      <c r="D14" s="18">
        <v>3</v>
      </c>
      <c r="E14" s="18">
        <v>4</v>
      </c>
      <c r="F14" s="18">
        <v>5</v>
      </c>
      <c r="G14" s="18">
        <v>6</v>
      </c>
      <c r="H14" s="18">
        <v>7</v>
      </c>
      <c r="I14" s="18">
        <v>8</v>
      </c>
      <c r="J14" s="18" t="s">
        <v>34</v>
      </c>
      <c r="K14" s="15"/>
    </row>
    <row r="15" spans="1:11" ht="20" customHeight="1">
      <c r="A15" s="19"/>
      <c r="B15" s="18" t="s">
        <v>21</v>
      </c>
      <c r="C15" s="18">
        <f>1/16</f>
        <v>6.25E-2</v>
      </c>
      <c r="D15" s="18">
        <f>1/8</f>
        <v>0.125</v>
      </c>
      <c r="E15" s="18">
        <f>3/16</f>
        <v>0.1875</v>
      </c>
      <c r="F15" s="18">
        <f>4/16</f>
        <v>0.25</v>
      </c>
      <c r="G15" s="18">
        <f>3/16</f>
        <v>0.1875</v>
      </c>
      <c r="H15" s="20">
        <f>1/8</f>
        <v>0.125</v>
      </c>
      <c r="I15" s="18">
        <f>1/16</f>
        <v>6.25E-2</v>
      </c>
      <c r="J15" s="18">
        <f>SUM(C15:I15)</f>
        <v>1</v>
      </c>
      <c r="K15" s="15"/>
    </row>
    <row r="16" spans="1:11" ht="20" customHeight="1">
      <c r="A16" s="16"/>
      <c r="B16" s="18" t="s">
        <v>25</v>
      </c>
      <c r="C16" s="18">
        <f>C14*C15</f>
        <v>0.125</v>
      </c>
      <c r="D16" s="18">
        <f t="shared" ref="D16:I16" si="3">D14*D15</f>
        <v>0.375</v>
      </c>
      <c r="E16" s="18">
        <f t="shared" si="3"/>
        <v>0.75</v>
      </c>
      <c r="F16" s="18">
        <f t="shared" si="3"/>
        <v>1.25</v>
      </c>
      <c r="G16" s="18">
        <f t="shared" si="3"/>
        <v>1.125</v>
      </c>
      <c r="H16" s="18">
        <f t="shared" si="3"/>
        <v>0.875</v>
      </c>
      <c r="I16" s="18">
        <f t="shared" si="3"/>
        <v>0.5</v>
      </c>
      <c r="J16" s="22">
        <f t="shared" ref="J16:J17" si="4">SUM(C16:I16)</f>
        <v>5</v>
      </c>
      <c r="K16" s="15" t="s">
        <v>35</v>
      </c>
    </row>
    <row r="17" spans="1:11" ht="20" customHeight="1">
      <c r="A17" s="16"/>
      <c r="B17" s="18" t="s">
        <v>26</v>
      </c>
      <c r="C17" s="18">
        <f>(C14-$J$16)^2*C15</f>
        <v>0.5625</v>
      </c>
      <c r="D17" s="18">
        <f t="shared" ref="D17:I17" si="5">(D14-$J$16)^2*D15</f>
        <v>0.5</v>
      </c>
      <c r="E17" s="18">
        <f t="shared" si="5"/>
        <v>0.1875</v>
      </c>
      <c r="F17" s="21">
        <f t="shared" si="5"/>
        <v>0</v>
      </c>
      <c r="G17" s="18">
        <f t="shared" si="5"/>
        <v>0.1875</v>
      </c>
      <c r="H17" s="18">
        <f t="shared" si="5"/>
        <v>0.5</v>
      </c>
      <c r="I17" s="18">
        <f t="shared" si="5"/>
        <v>0.5625</v>
      </c>
      <c r="J17" s="18">
        <f t="shared" si="4"/>
        <v>2.5</v>
      </c>
      <c r="K17" s="15" t="s">
        <v>36</v>
      </c>
    </row>
    <row r="18" spans="1:11" ht="20" customHeight="1">
      <c r="A18" s="16"/>
      <c r="B18" s="18"/>
      <c r="C18" s="18"/>
      <c r="D18" s="18"/>
      <c r="E18" s="18"/>
      <c r="F18" s="18"/>
      <c r="G18" s="18"/>
      <c r="H18" s="18"/>
      <c r="I18" s="18"/>
      <c r="J18" s="23">
        <f>SQRT(J17)</f>
        <v>1.5811388300841898</v>
      </c>
      <c r="K18" s="15" t="s">
        <v>37</v>
      </c>
    </row>
  </sheetData>
  <mergeCells count="1">
    <mergeCell ref="B12:J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2DBA-1FAE-4E48-A602-56EBF8C49CAE}">
  <dimension ref="A1:F11"/>
  <sheetViews>
    <sheetView workbookViewId="0">
      <selection activeCell="J16" sqref="J16"/>
    </sheetView>
  </sheetViews>
  <sheetFormatPr defaultColWidth="10.81640625" defaultRowHeight="17.5"/>
  <cols>
    <col min="1" max="1" width="10.81640625" style="4"/>
    <col min="2" max="2" width="18.81640625" style="4" customWidth="1"/>
    <col min="3" max="16384" width="10.81640625" style="4"/>
  </cols>
  <sheetData>
    <row r="1" spans="1:6">
      <c r="A1" s="4" t="s">
        <v>18</v>
      </c>
      <c r="B1" s="4" t="s">
        <v>23</v>
      </c>
    </row>
    <row r="2" spans="1:6">
      <c r="B2" s="4" t="s">
        <v>24</v>
      </c>
    </row>
    <row r="3" spans="1:6">
      <c r="B3" s="5" t="s">
        <v>27</v>
      </c>
      <c r="C3" s="5">
        <v>0</v>
      </c>
      <c r="D3" s="5">
        <v>1</v>
      </c>
      <c r="E3" s="5">
        <v>2</v>
      </c>
      <c r="F3" s="5">
        <v>3</v>
      </c>
    </row>
    <row r="4" spans="1:6">
      <c r="B4" s="5" t="s">
        <v>28</v>
      </c>
      <c r="C4" s="5">
        <v>100</v>
      </c>
      <c r="D4" s="5">
        <v>350</v>
      </c>
      <c r="E4" s="5">
        <v>400</v>
      </c>
      <c r="F4" s="5">
        <v>150</v>
      </c>
    </row>
    <row r="8" spans="1:6">
      <c r="A8" s="4" t="s">
        <v>22</v>
      </c>
      <c r="B8" s="4" t="s">
        <v>29</v>
      </c>
    </row>
    <row r="9" spans="1:6">
      <c r="B9" s="4" t="s">
        <v>30</v>
      </c>
    </row>
    <row r="10" spans="1:6">
      <c r="B10" s="5" t="s">
        <v>31</v>
      </c>
      <c r="C10" s="5">
        <v>0</v>
      </c>
    </row>
    <row r="11" spans="1:6">
      <c r="B11" s="5" t="s">
        <v>32</v>
      </c>
      <c r="C11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C1055"/>
  <sheetViews>
    <sheetView tabSelected="1" topLeftCell="Q3" workbookViewId="0">
      <selection activeCell="AG19" sqref="AG19"/>
    </sheetView>
  </sheetViews>
  <sheetFormatPr defaultColWidth="10.81640625" defaultRowHeight="21"/>
  <cols>
    <col min="1" max="7" width="10.81640625" style="3"/>
    <col min="8" max="8" width="19.6328125" style="3" customWidth="1"/>
    <col min="9" max="9" width="11.453125" style="3" bestFit="1" customWidth="1"/>
    <col min="10" max="13" width="10.81640625" style="3"/>
    <col min="14" max="14" width="12.54296875" style="3" bestFit="1" customWidth="1"/>
    <col min="15" max="16" width="16.81640625" style="3" bestFit="1" customWidth="1"/>
    <col min="17" max="18" width="5.6328125" style="3" bestFit="1" customWidth="1"/>
    <col min="19" max="20" width="5.6328125" style="3" customWidth="1"/>
    <col min="21" max="21" width="12.08984375" style="3" customWidth="1"/>
    <col min="22" max="22" width="4.54296875" style="3" customWidth="1"/>
    <col min="23" max="25" width="5.6328125" style="3" bestFit="1" customWidth="1"/>
    <col min="26" max="26" width="5.26953125" style="3" bestFit="1" customWidth="1"/>
    <col min="27" max="28" width="5.6328125" style="3" bestFit="1" customWidth="1"/>
    <col min="29" max="29" width="17.453125" style="3" customWidth="1"/>
    <col min="30" max="30" width="37.26953125" style="3" customWidth="1"/>
    <col min="31" max="34" width="5.6328125" style="3" bestFit="1" customWidth="1"/>
    <col min="35" max="35" width="5.26953125" style="3" bestFit="1" customWidth="1"/>
    <col min="36" max="39" width="5.6328125" style="3" bestFit="1" customWidth="1"/>
    <col min="40" max="40" width="4.54296875" style="3" bestFit="1" customWidth="1"/>
    <col min="41" max="44" width="5.6328125" style="3" bestFit="1" customWidth="1"/>
    <col min="45" max="45" width="5.26953125" style="3" bestFit="1" customWidth="1"/>
    <col min="46" max="49" width="5.6328125" style="3" bestFit="1" customWidth="1"/>
    <col min="50" max="50" width="4.54296875" style="3" bestFit="1" customWidth="1"/>
    <col min="51" max="59" width="5.6328125" style="3" bestFit="1" customWidth="1"/>
    <col min="60" max="60" width="4.26953125" style="3" bestFit="1" customWidth="1"/>
    <col min="61" max="64" width="5.6328125" style="3" bestFit="1" customWidth="1"/>
    <col min="65" max="65" width="5.26953125" style="3" bestFit="1" customWidth="1"/>
    <col min="66" max="69" width="5.6328125" style="3" bestFit="1" customWidth="1"/>
    <col min="70" max="70" width="4.54296875" style="3" bestFit="1" customWidth="1"/>
    <col min="71" max="78" width="5.6328125" style="3" bestFit="1" customWidth="1"/>
    <col min="79" max="79" width="4.54296875" style="3" bestFit="1" customWidth="1"/>
    <col min="80" max="82" width="5.6328125" style="3" bestFit="1" customWidth="1"/>
    <col min="83" max="83" width="5.26953125" style="3" bestFit="1" customWidth="1"/>
    <col min="84" max="84" width="5.6328125" style="3" bestFit="1" customWidth="1"/>
    <col min="85" max="85" width="5.26953125" style="3" bestFit="1" customWidth="1"/>
    <col min="86" max="88" width="5.6328125" style="3" bestFit="1" customWidth="1"/>
    <col min="89" max="89" width="4.26953125" style="3" bestFit="1" customWidth="1"/>
    <col min="90" max="94" width="5.6328125" style="3" bestFit="1" customWidth="1"/>
    <col min="95" max="95" width="6.7265625" style="3" bestFit="1" customWidth="1"/>
    <col min="96" max="98" width="5.6328125" style="3" bestFit="1" customWidth="1"/>
    <col min="99" max="99" width="4.54296875" style="3" bestFit="1" customWidth="1"/>
    <col min="100" max="108" width="5.6328125" style="3" bestFit="1" customWidth="1"/>
    <col min="109" max="109" width="3.453125" style="3" bestFit="1" customWidth="1"/>
    <col min="110" max="110" width="5.6328125" style="3" bestFit="1" customWidth="1"/>
    <col min="111" max="111" width="5.26953125" style="3" bestFit="1" customWidth="1"/>
    <col min="112" max="113" width="5.6328125" style="3" bestFit="1" customWidth="1"/>
    <col min="114" max="114" width="5.26953125" style="3" bestFit="1" customWidth="1"/>
    <col min="115" max="127" width="5.6328125" style="3" bestFit="1" customWidth="1"/>
    <col min="128" max="128" width="4.54296875" style="3" bestFit="1" customWidth="1"/>
    <col min="129" max="132" width="5.6328125" style="3" bestFit="1" customWidth="1"/>
    <col min="133" max="133" width="5.26953125" style="3" bestFit="1" customWidth="1"/>
    <col min="134" max="135" width="5.6328125" style="3" bestFit="1" customWidth="1"/>
    <col min="136" max="136" width="6.7265625" style="3" bestFit="1" customWidth="1"/>
    <col min="137" max="137" width="5.6328125" style="3" bestFit="1" customWidth="1"/>
    <col min="138" max="138" width="4.54296875" style="3" bestFit="1" customWidth="1"/>
    <col min="139" max="139" width="6.7265625" style="3" bestFit="1" customWidth="1"/>
    <col min="140" max="141" width="5.6328125" style="3" bestFit="1" customWidth="1"/>
    <col min="142" max="144" width="5.26953125" style="3" bestFit="1" customWidth="1"/>
    <col min="145" max="147" width="5.6328125" style="3" bestFit="1" customWidth="1"/>
    <col min="148" max="148" width="4.54296875" style="3" bestFit="1" customWidth="1"/>
    <col min="149" max="149" width="5.6328125" style="3" bestFit="1" customWidth="1"/>
    <col min="150" max="150" width="6.7265625" style="3" bestFit="1" customWidth="1"/>
    <col min="151" max="153" width="5.6328125" style="3" bestFit="1" customWidth="1"/>
    <col min="154" max="154" width="5.26953125" style="3" bestFit="1" customWidth="1"/>
    <col min="155" max="155" width="5.6328125" style="3" bestFit="1" customWidth="1"/>
    <col min="156" max="156" width="6.7265625" style="3" bestFit="1" customWidth="1"/>
    <col min="157" max="157" width="5.6328125" style="3" bestFit="1" customWidth="1"/>
    <col min="158" max="158" width="4.26953125" style="3" bestFit="1" customWidth="1"/>
    <col min="159" max="162" width="5.6328125" style="3" bestFit="1" customWidth="1"/>
    <col min="163" max="163" width="6.7265625" style="3" bestFit="1" customWidth="1"/>
    <col min="164" max="165" width="5.6328125" style="3" bestFit="1" customWidth="1"/>
    <col min="166" max="166" width="5.26953125" style="3" bestFit="1" customWidth="1"/>
    <col min="167" max="167" width="5.6328125" style="3" bestFit="1" customWidth="1"/>
    <col min="168" max="168" width="4.26953125" style="3" bestFit="1" customWidth="1"/>
    <col min="169" max="169" width="5.6328125" style="3" bestFit="1" customWidth="1"/>
    <col min="170" max="170" width="5.26953125" style="3" bestFit="1" customWidth="1"/>
    <col min="171" max="173" width="5.6328125" style="3" bestFit="1" customWidth="1"/>
    <col min="174" max="174" width="6.7265625" style="3" bestFit="1" customWidth="1"/>
    <col min="175" max="175" width="5.6328125" style="3" bestFit="1" customWidth="1"/>
    <col min="176" max="177" width="6.7265625" style="3" bestFit="1" customWidth="1"/>
    <col min="178" max="178" width="5.6328125" style="3" bestFit="1" customWidth="1"/>
    <col min="179" max="179" width="6.7265625" style="3" bestFit="1" customWidth="1"/>
    <col min="180" max="180" width="5.26953125" style="3" bestFit="1" customWidth="1"/>
    <col min="181" max="183" width="5.6328125" style="3" bestFit="1" customWidth="1"/>
    <col min="184" max="184" width="6.7265625" style="3" bestFit="1" customWidth="1"/>
    <col min="185" max="185" width="5.6328125" style="3" bestFit="1" customWidth="1"/>
    <col min="186" max="186" width="5.26953125" style="3" bestFit="1" customWidth="1"/>
    <col min="187" max="188" width="5.6328125" style="3" bestFit="1" customWidth="1"/>
    <col min="189" max="190" width="6.7265625" style="3" bestFit="1" customWidth="1"/>
    <col min="191" max="192" width="5.6328125" style="3" bestFit="1" customWidth="1"/>
    <col min="193" max="193" width="5.26953125" style="3" bestFit="1" customWidth="1"/>
    <col min="194" max="199" width="5.6328125" style="3" bestFit="1" customWidth="1"/>
    <col min="200" max="200" width="6.7265625" style="3" bestFit="1" customWidth="1"/>
    <col min="201" max="202" width="5.6328125" style="3" bestFit="1" customWidth="1"/>
    <col min="203" max="203" width="6.7265625" style="3" bestFit="1" customWidth="1"/>
    <col min="204" max="204" width="5.6328125" style="3" bestFit="1" customWidth="1"/>
    <col min="205" max="205" width="6.7265625" style="3" bestFit="1" customWidth="1"/>
    <col min="206" max="206" width="5.6328125" style="3" bestFit="1" customWidth="1"/>
    <col min="207" max="207" width="2.36328125" style="3" bestFit="1" customWidth="1"/>
    <col min="208" max="213" width="5.6328125" style="3" bestFit="1" customWidth="1"/>
    <col min="214" max="216" width="6.7265625" style="3" bestFit="1" customWidth="1"/>
    <col min="217" max="217" width="4.54296875" style="3" bestFit="1" customWidth="1"/>
    <col min="218" max="221" width="5.6328125" style="3" bestFit="1" customWidth="1"/>
    <col min="222" max="222" width="5.26953125" style="3" bestFit="1" customWidth="1"/>
    <col min="223" max="226" width="5.6328125" style="3" bestFit="1" customWidth="1"/>
    <col min="227" max="227" width="4.54296875" style="3" bestFit="1" customWidth="1"/>
    <col min="228" max="231" width="5.6328125" style="3" bestFit="1" customWidth="1"/>
    <col min="232" max="232" width="5.26953125" style="3" bestFit="1" customWidth="1"/>
    <col min="233" max="233" width="5.6328125" style="3" bestFit="1" customWidth="1"/>
    <col min="234" max="234" width="6.7265625" style="3" bestFit="1" customWidth="1"/>
    <col min="235" max="235" width="5.6328125" style="3" bestFit="1" customWidth="1"/>
    <col min="236" max="236" width="4.54296875" style="3" bestFit="1" customWidth="1"/>
    <col min="237" max="251" width="5.6328125" style="3" bestFit="1" customWidth="1"/>
    <col min="252" max="252" width="4.54296875" style="3" bestFit="1" customWidth="1"/>
    <col min="253" max="268" width="5.6328125" style="3" bestFit="1" customWidth="1"/>
    <col min="269" max="269" width="4.54296875" style="3" bestFit="1" customWidth="1"/>
    <col min="270" max="280" width="5.6328125" style="3" bestFit="1" customWidth="1"/>
    <col min="281" max="281" width="8.90625" style="3" bestFit="1" customWidth="1"/>
    <col min="282" max="286" width="5.6328125" style="3" bestFit="1" customWidth="1"/>
    <col min="287" max="287" width="6.7265625" style="3" bestFit="1" customWidth="1"/>
    <col min="288" max="289" width="5.6328125" style="3" bestFit="1" customWidth="1"/>
    <col min="290" max="290" width="6.7265625" style="3" bestFit="1" customWidth="1"/>
    <col min="291" max="291" width="5.6328125" style="3" bestFit="1" customWidth="1"/>
    <col min="292" max="292" width="5.26953125" style="3" bestFit="1" customWidth="1"/>
    <col min="293" max="293" width="5.6328125" style="3" bestFit="1" customWidth="1"/>
    <col min="294" max="294" width="2.36328125" style="3" bestFit="1" customWidth="1"/>
    <col min="295" max="300" width="5.6328125" style="3" bestFit="1" customWidth="1"/>
    <col min="301" max="302" width="6.7265625" style="3" bestFit="1" customWidth="1"/>
    <col min="303" max="303" width="5.6328125" style="3" bestFit="1" customWidth="1"/>
    <col min="304" max="304" width="4.54296875" style="3" bestFit="1" customWidth="1"/>
    <col min="305" max="308" width="5.6328125" style="3" bestFit="1" customWidth="1"/>
    <col min="309" max="309" width="5.26953125" style="3" bestFit="1" customWidth="1"/>
    <col min="310" max="313" width="5.6328125" style="3" bestFit="1" customWidth="1"/>
    <col min="314" max="314" width="4.54296875" style="3" bestFit="1" customWidth="1"/>
    <col min="315" max="322" width="5.6328125" style="3" bestFit="1" customWidth="1"/>
    <col min="323" max="323" width="4.54296875" style="3" bestFit="1" customWidth="1"/>
    <col min="324" max="336" width="5.6328125" style="3" bestFit="1" customWidth="1"/>
    <col min="337" max="337" width="4.26953125" style="3" bestFit="1" customWidth="1"/>
    <col min="338" max="351" width="5.6328125" style="3" bestFit="1" customWidth="1"/>
    <col min="352" max="352" width="4.54296875" style="3" bestFit="1" customWidth="1"/>
    <col min="353" max="361" width="5.6328125" style="3" bestFit="1" customWidth="1"/>
    <col min="362" max="363" width="8.90625" style="3" bestFit="1" customWidth="1"/>
    <col min="364" max="545" width="16.81640625" style="3" bestFit="1" customWidth="1"/>
    <col min="546" max="546" width="22.1796875" style="3" bestFit="1" customWidth="1"/>
    <col min="547" max="547" width="20" style="3" bestFit="1" customWidth="1"/>
    <col min="548" max="548" width="7.1796875" style="3" bestFit="1" customWidth="1"/>
    <col min="549" max="549" width="10.26953125" style="3" bestFit="1" customWidth="1"/>
    <col min="550" max="550" width="7.1796875" style="3" bestFit="1" customWidth="1"/>
    <col min="551" max="551" width="10.26953125" style="3" bestFit="1" customWidth="1"/>
    <col min="552" max="552" width="7.1796875" style="3" bestFit="1" customWidth="1"/>
    <col min="553" max="553" width="5.6328125" style="3" bestFit="1" customWidth="1"/>
    <col min="554" max="554" width="10.26953125" style="3" bestFit="1" customWidth="1"/>
    <col min="555" max="555" width="7.1796875" style="3" bestFit="1" customWidth="1"/>
    <col min="556" max="556" width="10.26953125" style="3" bestFit="1" customWidth="1"/>
    <col min="557" max="557" width="7.1796875" style="3" bestFit="1" customWidth="1"/>
    <col min="558" max="558" width="10.26953125" style="3" bestFit="1" customWidth="1"/>
    <col min="559" max="559" width="7.1796875" style="3" bestFit="1" customWidth="1"/>
    <col min="560" max="560" width="10.26953125" style="3" bestFit="1" customWidth="1"/>
    <col min="561" max="561" width="7.1796875" style="3" bestFit="1" customWidth="1"/>
    <col min="562" max="562" width="5.6328125" style="3" bestFit="1" customWidth="1"/>
    <col min="563" max="563" width="10.26953125" style="3" bestFit="1" customWidth="1"/>
    <col min="564" max="564" width="7.1796875" style="3" bestFit="1" customWidth="1"/>
    <col min="565" max="565" width="10.26953125" style="3" bestFit="1" customWidth="1"/>
    <col min="566" max="566" width="6.1796875" style="3" bestFit="1" customWidth="1"/>
    <col min="567" max="567" width="4.54296875" style="3" bestFit="1" customWidth="1"/>
    <col min="568" max="568" width="9.26953125" style="3" bestFit="1" customWidth="1"/>
    <col min="569" max="569" width="7.1796875" style="3" bestFit="1" customWidth="1"/>
    <col min="570" max="570" width="10.26953125" style="3" bestFit="1" customWidth="1"/>
    <col min="571" max="571" width="7.1796875" style="3" bestFit="1" customWidth="1"/>
    <col min="572" max="572" width="10.26953125" style="3" bestFit="1" customWidth="1"/>
    <col min="573" max="573" width="7.1796875" style="3" bestFit="1" customWidth="1"/>
    <col min="574" max="574" width="10.26953125" style="3" bestFit="1" customWidth="1"/>
    <col min="575" max="575" width="7.1796875" style="3" bestFit="1" customWidth="1"/>
    <col min="576" max="576" width="10.26953125" style="3" bestFit="1" customWidth="1"/>
    <col min="577" max="577" width="7.1796875" style="3" bestFit="1" customWidth="1"/>
    <col min="578" max="578" width="5.6328125" style="3" bestFit="1" customWidth="1"/>
    <col min="579" max="579" width="10.26953125" style="3" bestFit="1" customWidth="1"/>
    <col min="580" max="580" width="7.1796875" style="3" bestFit="1" customWidth="1"/>
    <col min="581" max="581" width="10.26953125" style="3" bestFit="1" customWidth="1"/>
    <col min="582" max="582" width="7.1796875" style="3" bestFit="1" customWidth="1"/>
    <col min="583" max="583" width="10.26953125" style="3" bestFit="1" customWidth="1"/>
    <col min="584" max="584" width="7.1796875" style="3" bestFit="1" customWidth="1"/>
    <col min="585" max="585" width="10.26953125" style="3" bestFit="1" customWidth="1"/>
    <col min="586" max="586" width="7.1796875" style="3" bestFit="1" customWidth="1"/>
    <col min="587" max="587" width="10.26953125" style="3" bestFit="1" customWidth="1"/>
    <col min="588" max="588" width="7.1796875" style="3" bestFit="1" customWidth="1"/>
    <col min="589" max="589" width="10.26953125" style="3" bestFit="1" customWidth="1"/>
    <col min="590" max="590" width="7.1796875" style="3" bestFit="1" customWidth="1"/>
    <col min="591" max="591" width="10.26953125" style="3" bestFit="1" customWidth="1"/>
    <col min="592" max="592" width="7.1796875" style="3" bestFit="1" customWidth="1"/>
    <col min="593" max="593" width="10.26953125" style="3" bestFit="1" customWidth="1"/>
    <col min="594" max="594" width="7.1796875" style="3" bestFit="1" customWidth="1"/>
    <col min="595" max="595" width="10.26953125" style="3" bestFit="1" customWidth="1"/>
    <col min="596" max="596" width="7.1796875" style="3" bestFit="1" customWidth="1"/>
    <col min="597" max="597" width="10.26953125" style="3" bestFit="1" customWidth="1"/>
    <col min="598" max="598" width="7.1796875" style="3" bestFit="1" customWidth="1"/>
    <col min="599" max="599" width="10.26953125" style="3" bestFit="1" customWidth="1"/>
    <col min="600" max="600" width="7.1796875" style="3" bestFit="1" customWidth="1"/>
    <col min="601" max="601" width="10.26953125" style="3" bestFit="1" customWidth="1"/>
    <col min="602" max="602" width="6.1796875" style="3" bestFit="1" customWidth="1"/>
    <col min="603" max="603" width="9.26953125" style="3" bestFit="1" customWidth="1"/>
    <col min="604" max="604" width="7.1796875" style="3" bestFit="1" customWidth="1"/>
    <col min="605" max="605" width="10.26953125" style="3" bestFit="1" customWidth="1"/>
    <col min="606" max="606" width="7.1796875" style="3" bestFit="1" customWidth="1"/>
    <col min="607" max="607" width="10.26953125" style="3" bestFit="1" customWidth="1"/>
    <col min="608" max="608" width="7.1796875" style="3" bestFit="1" customWidth="1"/>
    <col min="609" max="609" width="10.26953125" style="3" bestFit="1" customWidth="1"/>
    <col min="610" max="610" width="7.1796875" style="3" bestFit="1" customWidth="1"/>
    <col min="611" max="611" width="5.6328125" style="3" bestFit="1" customWidth="1"/>
    <col min="612" max="612" width="10.26953125" style="3" bestFit="1" customWidth="1"/>
    <col min="613" max="613" width="7.1796875" style="3" bestFit="1" customWidth="1"/>
    <col min="614" max="614" width="10.26953125" style="3" bestFit="1" customWidth="1"/>
    <col min="615" max="615" width="7.1796875" style="3" bestFit="1" customWidth="1"/>
    <col min="616" max="616" width="10.26953125" style="3" bestFit="1" customWidth="1"/>
    <col min="617" max="617" width="7.1796875" style="3" bestFit="1" customWidth="1"/>
    <col min="618" max="618" width="10.26953125" style="3" bestFit="1" customWidth="1"/>
    <col min="619" max="619" width="7.1796875" style="3" bestFit="1" customWidth="1"/>
    <col min="620" max="620" width="10.26953125" style="3" bestFit="1" customWidth="1"/>
    <col min="621" max="621" width="7.1796875" style="3" bestFit="1" customWidth="1"/>
    <col min="622" max="622" width="10.26953125" style="3" bestFit="1" customWidth="1"/>
    <col min="623" max="623" width="7.1796875" style="3" bestFit="1" customWidth="1"/>
    <col min="624" max="624" width="10.26953125" style="3" bestFit="1" customWidth="1"/>
    <col min="625" max="625" width="7.1796875" style="3" bestFit="1" customWidth="1"/>
    <col min="626" max="626" width="10.26953125" style="3" bestFit="1" customWidth="1"/>
    <col min="627" max="627" width="13.54296875" style="3" bestFit="1" customWidth="1"/>
    <col min="628" max="16384" width="10.81640625" style="3"/>
  </cols>
  <sheetData>
    <row r="1" spans="1:30">
      <c r="A1" s="3" t="s">
        <v>42</v>
      </c>
      <c r="B1" s="3" t="s">
        <v>51</v>
      </c>
      <c r="C1" s="3" t="s">
        <v>51</v>
      </c>
      <c r="D1" s="3" t="s">
        <v>52</v>
      </c>
      <c r="E1" s="3" t="s">
        <v>52</v>
      </c>
      <c r="F1" s="3" t="s">
        <v>52</v>
      </c>
    </row>
    <row r="2" spans="1:30" s="1" customFormat="1">
      <c r="A2" s="2"/>
      <c r="B2" s="1" t="s">
        <v>0</v>
      </c>
      <c r="C2" s="1" t="s">
        <v>4</v>
      </c>
      <c r="D2" s="1" t="s">
        <v>1</v>
      </c>
      <c r="E2" s="1" t="s">
        <v>3</v>
      </c>
      <c r="F2" s="1" t="s">
        <v>2</v>
      </c>
      <c r="H2" s="30" t="s">
        <v>5</v>
      </c>
      <c r="I2" s="30"/>
      <c r="J2" s="30" t="s">
        <v>8</v>
      </c>
      <c r="K2" s="30"/>
      <c r="N2" s="1" t="s">
        <v>12</v>
      </c>
      <c r="U2" s="1" t="s">
        <v>63</v>
      </c>
    </row>
    <row r="3" spans="1:30">
      <c r="B3" s="3">
        <v>1</v>
      </c>
      <c r="C3" s="3">
        <v>1</v>
      </c>
      <c r="D3" s="3">
        <v>473</v>
      </c>
      <c r="E3" s="3">
        <v>12</v>
      </c>
      <c r="F3" s="3">
        <v>1.65</v>
      </c>
      <c r="H3" s="3">
        <v>1</v>
      </c>
      <c r="I3" s="3" t="s">
        <v>7</v>
      </c>
      <c r="J3" s="3">
        <v>1</v>
      </c>
      <c r="K3" s="3" t="s">
        <v>9</v>
      </c>
      <c r="O3" s="3" t="s">
        <v>14</v>
      </c>
      <c r="U3" s="3" t="s">
        <v>64</v>
      </c>
      <c r="AC3" s="3" t="s">
        <v>65</v>
      </c>
      <c r="AD3" s="3" t="s">
        <v>67</v>
      </c>
    </row>
    <row r="4" spans="1:30">
      <c r="B4" s="3">
        <v>1</v>
      </c>
      <c r="C4" s="3">
        <v>1</v>
      </c>
      <c r="D4" s="3">
        <v>515</v>
      </c>
      <c r="E4" s="3">
        <v>9</v>
      </c>
      <c r="F4" s="3">
        <v>0.89</v>
      </c>
      <c r="H4" s="3">
        <v>2</v>
      </c>
      <c r="I4" s="3" t="s">
        <v>6</v>
      </c>
      <c r="J4" s="3">
        <v>2</v>
      </c>
      <c r="K4" s="3" t="s">
        <v>10</v>
      </c>
      <c r="O4" s="3" t="s">
        <v>15</v>
      </c>
      <c r="AC4" s="3" t="s">
        <v>66</v>
      </c>
      <c r="AD4" s="3" t="s">
        <v>68</v>
      </c>
    </row>
    <row r="5" spans="1:30">
      <c r="B5" s="3">
        <v>1</v>
      </c>
      <c r="C5" s="3">
        <v>1</v>
      </c>
      <c r="D5" s="3">
        <v>772</v>
      </c>
      <c r="E5" s="3">
        <v>11</v>
      </c>
      <c r="F5" s="3">
        <v>1.1299999999999999</v>
      </c>
      <c r="J5" s="3">
        <v>3</v>
      </c>
      <c r="K5" s="3" t="s">
        <v>11</v>
      </c>
      <c r="AC5" s="3" t="s">
        <v>69</v>
      </c>
      <c r="AD5" s="31">
        <f>I21-I20</f>
        <v>-2.8405797101449193E-2</v>
      </c>
    </row>
    <row r="6" spans="1:30">
      <c r="B6" s="3">
        <v>1</v>
      </c>
      <c r="C6" s="3">
        <v>1</v>
      </c>
      <c r="D6" s="3">
        <v>306</v>
      </c>
      <c r="E6" s="3">
        <v>7</v>
      </c>
      <c r="F6" s="3">
        <v>1.63</v>
      </c>
      <c r="N6" s="3" t="s">
        <v>13</v>
      </c>
      <c r="O6" s="3" t="s">
        <v>16</v>
      </c>
      <c r="AC6" s="3" t="s">
        <v>70</v>
      </c>
    </row>
    <row r="7" spans="1:30">
      <c r="B7" s="3">
        <v>1</v>
      </c>
      <c r="C7" s="3">
        <v>1</v>
      </c>
      <c r="D7" s="3">
        <v>242</v>
      </c>
      <c r="E7" s="3">
        <v>8</v>
      </c>
      <c r="F7" s="3">
        <v>2.09</v>
      </c>
    </row>
    <row r="8" spans="1:30">
      <c r="B8" s="3">
        <v>1</v>
      </c>
      <c r="C8" s="3">
        <v>1</v>
      </c>
      <c r="D8" s="3">
        <v>490</v>
      </c>
      <c r="E8" s="3">
        <v>1</v>
      </c>
      <c r="F8" s="3">
        <v>2.25</v>
      </c>
      <c r="H8" s="3" t="s">
        <v>17</v>
      </c>
      <c r="AC8" s="3" t="s">
        <v>65</v>
      </c>
      <c r="AD8" s="3" t="s">
        <v>71</v>
      </c>
    </row>
    <row r="9" spans="1:30">
      <c r="B9" s="3">
        <v>1</v>
      </c>
      <c r="C9" s="3">
        <v>1</v>
      </c>
      <c r="D9" s="3">
        <v>288</v>
      </c>
      <c r="E9" s="3">
        <v>9</v>
      </c>
      <c r="F9" s="3">
        <v>1.44</v>
      </c>
      <c r="AC9" s="3" t="s">
        <v>66</v>
      </c>
      <c r="AD9" s="3" t="s">
        <v>72</v>
      </c>
    </row>
    <row r="10" spans="1:30">
      <c r="B10" s="3">
        <v>1</v>
      </c>
      <c r="C10" s="3">
        <v>1</v>
      </c>
      <c r="D10" s="3">
        <v>281</v>
      </c>
      <c r="E10" s="3">
        <v>10</v>
      </c>
      <c r="F10" s="3">
        <v>2.27</v>
      </c>
      <c r="H10" s="3" t="s">
        <v>46</v>
      </c>
      <c r="AC10" s="3" t="s">
        <v>69</v>
      </c>
      <c r="AD10" s="32">
        <f>GETPIVOTDATA("Interest",$N$21,"Gender",1)-GETPIVOTDATA("Interest",$N$21,"Gender",2)</f>
        <v>0.2677669731258836</v>
      </c>
    </row>
    <row r="11" spans="1:30">
      <c r="B11" s="3">
        <v>1</v>
      </c>
      <c r="C11" s="3">
        <v>1</v>
      </c>
      <c r="D11" s="3">
        <v>881</v>
      </c>
      <c r="E11" s="3">
        <v>8</v>
      </c>
      <c r="F11" s="3">
        <v>1.4</v>
      </c>
      <c r="H11" s="3" t="s">
        <v>43</v>
      </c>
      <c r="I11" s="3" t="s">
        <v>6</v>
      </c>
      <c r="J11" s="3" t="s">
        <v>7</v>
      </c>
      <c r="K11" s="3" t="s">
        <v>45</v>
      </c>
      <c r="AC11" s="3" t="s">
        <v>73</v>
      </c>
    </row>
    <row r="12" spans="1:30">
      <c r="B12" s="3">
        <v>1</v>
      </c>
      <c r="C12" s="3">
        <v>1</v>
      </c>
      <c r="D12" s="3">
        <v>553</v>
      </c>
      <c r="E12" s="3">
        <v>14</v>
      </c>
      <c r="F12" s="3">
        <v>1.37</v>
      </c>
      <c r="H12" s="3" t="s">
        <v>44</v>
      </c>
      <c r="I12" s="3">
        <f>1050/1165</f>
        <v>0.90128755364806867</v>
      </c>
      <c r="J12" s="3">
        <f>115/1165</f>
        <v>9.8712446351931327E-2</v>
      </c>
      <c r="K12" s="3">
        <f>SUM(I12:J12)</f>
        <v>1</v>
      </c>
      <c r="AC12" s="3" t="s">
        <v>74</v>
      </c>
    </row>
    <row r="13" spans="1:30">
      <c r="B13" s="3">
        <v>1</v>
      </c>
      <c r="C13" s="3">
        <v>1</v>
      </c>
      <c r="D13" s="3">
        <v>798</v>
      </c>
      <c r="E13" s="3">
        <v>4</v>
      </c>
      <c r="F13" s="3">
        <v>1.34</v>
      </c>
    </row>
    <row r="14" spans="1:30">
      <c r="B14" s="3">
        <v>1</v>
      </c>
      <c r="C14" s="3">
        <v>1</v>
      </c>
      <c r="D14" s="3">
        <v>596</v>
      </c>
      <c r="E14" s="3">
        <v>15</v>
      </c>
      <c r="F14" s="3">
        <v>1.47</v>
      </c>
      <c r="I14" s="3" t="s">
        <v>48</v>
      </c>
      <c r="J14" s="3" t="s">
        <v>49</v>
      </c>
    </row>
    <row r="15" spans="1:30">
      <c r="B15" s="3">
        <v>1</v>
      </c>
      <c r="C15" s="3">
        <v>1</v>
      </c>
      <c r="D15" s="3">
        <v>653</v>
      </c>
      <c r="E15" s="3">
        <v>1</v>
      </c>
      <c r="F15" s="3">
        <v>0.75</v>
      </c>
      <c r="H15" s="3" t="s">
        <v>47</v>
      </c>
      <c r="I15" s="3">
        <f>MIN(F:F)</f>
        <v>0</v>
      </c>
      <c r="J15" s="3">
        <f>MAX(F:F)</f>
        <v>3.29</v>
      </c>
      <c r="L15" s="3" t="s">
        <v>50</v>
      </c>
    </row>
    <row r="16" spans="1:30">
      <c r="B16" s="3">
        <v>1</v>
      </c>
      <c r="C16" s="3">
        <v>1</v>
      </c>
      <c r="D16" s="3">
        <v>165</v>
      </c>
      <c r="E16" s="3">
        <v>8</v>
      </c>
      <c r="F16" s="3">
        <v>2.34</v>
      </c>
      <c r="H16" s="3" t="s">
        <v>53</v>
      </c>
      <c r="I16" s="24">
        <f>AVERAGE(F3:F1055)</f>
        <v>1.3033618233618243</v>
      </c>
    </row>
    <row r="17" spans="2:627">
      <c r="B17" s="3">
        <v>1</v>
      </c>
      <c r="C17" s="3">
        <v>1</v>
      </c>
      <c r="D17" s="3">
        <v>339</v>
      </c>
      <c r="E17" s="3">
        <v>4</v>
      </c>
      <c r="F17" s="3">
        <v>1.56</v>
      </c>
      <c r="H17" s="3" t="s">
        <v>54</v>
      </c>
      <c r="I17" s="25">
        <f>_xlfn.STDEV.S(F3:F1055)</f>
        <v>0.6690390213696803</v>
      </c>
    </row>
    <row r="18" spans="2:627">
      <c r="B18" s="3">
        <v>1</v>
      </c>
      <c r="C18" s="3">
        <v>1</v>
      </c>
      <c r="D18" s="3">
        <v>476</v>
      </c>
      <c r="E18" s="3">
        <v>7</v>
      </c>
      <c r="F18" s="3">
        <v>2.88</v>
      </c>
    </row>
    <row r="19" spans="2:627">
      <c r="B19" s="3">
        <v>1</v>
      </c>
      <c r="C19" s="3">
        <v>1</v>
      </c>
      <c r="D19" s="3">
        <v>287</v>
      </c>
      <c r="E19" s="3">
        <v>6</v>
      </c>
      <c r="F19" s="3">
        <v>2.19</v>
      </c>
      <c r="H19" s="3" t="s">
        <v>59</v>
      </c>
      <c r="I19" s="3">
        <f>COUNTA(F3:F1055)/1165</f>
        <v>0.90386266094420598</v>
      </c>
    </row>
    <row r="20" spans="2:627">
      <c r="B20" s="3">
        <v>1</v>
      </c>
      <c r="C20" s="3">
        <v>1</v>
      </c>
      <c r="D20" s="3">
        <v>923</v>
      </c>
      <c r="E20" s="3">
        <v>8</v>
      </c>
      <c r="F20" s="3">
        <v>0.5</v>
      </c>
      <c r="H20" s="3" t="s">
        <v>61</v>
      </c>
      <c r="I20" s="3">
        <f>952/1050</f>
        <v>0.90666666666666662</v>
      </c>
    </row>
    <row r="21" spans="2:627">
      <c r="B21" s="3">
        <v>1</v>
      </c>
      <c r="C21" s="3">
        <v>1</v>
      </c>
      <c r="D21" s="3">
        <v>466</v>
      </c>
      <c r="E21" s="3">
        <v>9</v>
      </c>
      <c r="F21" s="3">
        <v>2.52</v>
      </c>
      <c r="H21" s="3" t="s">
        <v>62</v>
      </c>
      <c r="I21" s="3">
        <f>101/115</f>
        <v>0.87826086956521743</v>
      </c>
      <c r="N21" s="26" t="s">
        <v>55</v>
      </c>
      <c r="O21" t="s">
        <v>57</v>
      </c>
      <c r="P21"/>
      <c r="Q21" s="28" t="s">
        <v>58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</row>
    <row r="22" spans="2:627">
      <c r="B22" s="3">
        <v>1</v>
      </c>
      <c r="C22" s="3">
        <v>1</v>
      </c>
      <c r="D22" s="3">
        <v>763</v>
      </c>
      <c r="E22" s="3">
        <v>6</v>
      </c>
      <c r="F22" s="3">
        <v>1.83</v>
      </c>
      <c r="N22" s="27">
        <v>1</v>
      </c>
      <c r="O22" s="14">
        <v>1.5454455445544562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</row>
    <row r="23" spans="2:627">
      <c r="B23" s="3">
        <v>1</v>
      </c>
      <c r="C23" s="3">
        <v>1</v>
      </c>
      <c r="D23" s="3">
        <v>340</v>
      </c>
      <c r="E23" s="3">
        <v>4</v>
      </c>
      <c r="F23" s="3">
        <v>1.97</v>
      </c>
      <c r="N23" s="27">
        <v>2</v>
      </c>
      <c r="O23" s="14">
        <v>1.2776785714285726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</row>
    <row r="24" spans="2:627">
      <c r="B24" s="3">
        <v>1</v>
      </c>
      <c r="C24" s="3">
        <v>1</v>
      </c>
      <c r="D24" s="3">
        <v>501</v>
      </c>
      <c r="E24" s="3">
        <v>15</v>
      </c>
      <c r="F24" s="3">
        <v>1.79</v>
      </c>
      <c r="N24" s="27" t="s">
        <v>56</v>
      </c>
      <c r="O24" s="14">
        <v>1.3033618233618243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</row>
    <row r="25" spans="2:627">
      <c r="B25" s="3">
        <v>1</v>
      </c>
      <c r="C25" s="3">
        <v>1</v>
      </c>
      <c r="D25" s="3">
        <v>504</v>
      </c>
      <c r="E25" s="3">
        <v>7</v>
      </c>
      <c r="F25" s="3">
        <v>1.03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</row>
    <row r="26" spans="2:627">
      <c r="B26" s="3">
        <v>1</v>
      </c>
      <c r="C26" s="3">
        <v>1</v>
      </c>
      <c r="D26" s="3">
        <v>677</v>
      </c>
      <c r="E26" s="3">
        <v>10</v>
      </c>
      <c r="F26" s="3">
        <v>2.56</v>
      </c>
      <c r="N26" s="26" t="s">
        <v>55</v>
      </c>
      <c r="O26" t="s">
        <v>60</v>
      </c>
      <c r="P26"/>
      <c r="Q26"/>
    </row>
    <row r="27" spans="2:627">
      <c r="B27" s="3">
        <v>1</v>
      </c>
      <c r="C27" s="3">
        <v>1</v>
      </c>
      <c r="D27" s="3">
        <v>383</v>
      </c>
      <c r="E27" s="3">
        <v>8</v>
      </c>
      <c r="F27" s="3">
        <v>0.79</v>
      </c>
      <c r="N27" s="27">
        <v>1</v>
      </c>
      <c r="O27" s="14">
        <v>101</v>
      </c>
      <c r="P27"/>
      <c r="Q27"/>
    </row>
    <row r="28" spans="2:627">
      <c r="B28" s="3">
        <v>1</v>
      </c>
      <c r="C28" s="3">
        <v>1</v>
      </c>
      <c r="D28" s="3">
        <v>553</v>
      </c>
      <c r="E28" s="3">
        <v>12</v>
      </c>
      <c r="F28" s="3">
        <v>2.33</v>
      </c>
      <c r="N28" s="27">
        <v>2</v>
      </c>
      <c r="O28" s="14">
        <v>952</v>
      </c>
      <c r="P28"/>
      <c r="Q28"/>
    </row>
    <row r="29" spans="2:627">
      <c r="B29" s="3">
        <v>1</v>
      </c>
      <c r="C29" s="3">
        <v>1</v>
      </c>
      <c r="D29" s="3">
        <v>202</v>
      </c>
      <c r="E29" s="3">
        <v>9</v>
      </c>
      <c r="F29" s="3">
        <v>2.21</v>
      </c>
      <c r="N29" s="27" t="s">
        <v>56</v>
      </c>
      <c r="O29" s="14">
        <v>1053</v>
      </c>
      <c r="P29"/>
      <c r="Q29"/>
    </row>
    <row r="30" spans="2:627">
      <c r="B30" s="3">
        <v>1</v>
      </c>
      <c r="C30" s="3">
        <v>1</v>
      </c>
      <c r="D30" s="3">
        <v>81</v>
      </c>
      <c r="E30" s="3">
        <v>6</v>
      </c>
      <c r="F30" s="3">
        <v>2.57</v>
      </c>
      <c r="N30"/>
      <c r="O30"/>
      <c r="P30"/>
      <c r="Q30"/>
    </row>
    <row r="31" spans="2:627">
      <c r="B31" s="3">
        <v>1</v>
      </c>
      <c r="C31" s="3">
        <v>1</v>
      </c>
      <c r="D31" s="3">
        <v>508</v>
      </c>
      <c r="E31" s="3">
        <v>13</v>
      </c>
      <c r="F31" s="3">
        <v>1.03</v>
      </c>
      <c r="N31"/>
      <c r="O31"/>
      <c r="P31"/>
      <c r="Q31"/>
    </row>
    <row r="32" spans="2:627">
      <c r="B32" s="3">
        <v>1</v>
      </c>
      <c r="C32" s="3">
        <v>1</v>
      </c>
      <c r="D32" s="3">
        <v>530</v>
      </c>
      <c r="E32" s="3">
        <v>14</v>
      </c>
      <c r="F32" s="3">
        <v>0.27</v>
      </c>
      <c r="N32"/>
      <c r="O32"/>
      <c r="P32"/>
      <c r="Q32"/>
    </row>
    <row r="33" spans="2:17">
      <c r="B33" s="3">
        <v>1</v>
      </c>
      <c r="C33" s="3">
        <v>1</v>
      </c>
      <c r="D33" s="3">
        <v>725</v>
      </c>
      <c r="E33" s="3">
        <v>9</v>
      </c>
      <c r="F33" s="3">
        <v>1.74</v>
      </c>
      <c r="N33"/>
      <c r="O33"/>
      <c r="P33"/>
      <c r="Q33"/>
    </row>
    <row r="34" spans="2:17">
      <c r="B34" s="3">
        <v>1</v>
      </c>
      <c r="C34" s="3">
        <v>2</v>
      </c>
      <c r="D34" s="3">
        <v>665</v>
      </c>
      <c r="E34" s="3">
        <v>4</v>
      </c>
      <c r="F34" s="3">
        <v>2.04</v>
      </c>
      <c r="N34"/>
      <c r="O34"/>
      <c r="P34"/>
      <c r="Q34"/>
    </row>
    <row r="35" spans="2:17">
      <c r="B35" s="3">
        <v>1</v>
      </c>
      <c r="C35" s="3">
        <v>2</v>
      </c>
      <c r="D35" s="3">
        <v>729</v>
      </c>
      <c r="E35" s="3">
        <v>11</v>
      </c>
      <c r="F35" s="3">
        <v>1.82</v>
      </c>
      <c r="N35"/>
      <c r="O35"/>
      <c r="P35"/>
      <c r="Q35"/>
    </row>
    <row r="36" spans="2:17">
      <c r="B36" s="3">
        <v>1</v>
      </c>
      <c r="C36" s="3">
        <v>2</v>
      </c>
      <c r="D36" s="3">
        <v>74</v>
      </c>
      <c r="E36" s="3">
        <v>11</v>
      </c>
      <c r="F36" s="3">
        <v>1.45</v>
      </c>
      <c r="N36"/>
      <c r="O36"/>
      <c r="P36"/>
      <c r="Q36"/>
    </row>
    <row r="37" spans="2:17">
      <c r="B37" s="3">
        <v>1</v>
      </c>
      <c r="C37" s="3">
        <v>2</v>
      </c>
      <c r="D37" s="3">
        <v>414</v>
      </c>
      <c r="E37" s="3">
        <v>7</v>
      </c>
      <c r="F37" s="3">
        <v>0.1</v>
      </c>
      <c r="N37"/>
      <c r="O37"/>
      <c r="P37"/>
      <c r="Q37"/>
    </row>
    <row r="38" spans="2:17">
      <c r="B38" s="3">
        <v>1</v>
      </c>
      <c r="C38" s="3">
        <v>2</v>
      </c>
      <c r="D38" s="3">
        <v>903</v>
      </c>
      <c r="E38" s="3">
        <v>10</v>
      </c>
      <c r="F38" s="3">
        <v>2.5</v>
      </c>
      <c r="N38"/>
      <c r="O38"/>
      <c r="P38"/>
      <c r="Q38"/>
    </row>
    <row r="39" spans="2:17">
      <c r="B39" s="3">
        <v>1</v>
      </c>
      <c r="C39" s="3">
        <v>2</v>
      </c>
      <c r="D39" s="3">
        <v>383</v>
      </c>
      <c r="E39" s="3">
        <v>9</v>
      </c>
      <c r="F39" s="3">
        <v>1.7</v>
      </c>
      <c r="N39"/>
      <c r="O39"/>
      <c r="P39"/>
      <c r="Q39"/>
    </row>
    <row r="40" spans="2:17">
      <c r="B40" s="3">
        <v>1</v>
      </c>
      <c r="C40" s="3">
        <v>2</v>
      </c>
      <c r="D40" s="3">
        <v>439</v>
      </c>
      <c r="E40" s="3">
        <v>14</v>
      </c>
      <c r="F40" s="3">
        <v>1.42</v>
      </c>
      <c r="N40"/>
      <c r="O40"/>
      <c r="P40"/>
      <c r="Q40"/>
    </row>
    <row r="41" spans="2:17">
      <c r="B41" s="3">
        <v>1</v>
      </c>
      <c r="C41" s="3">
        <v>2</v>
      </c>
      <c r="D41" s="3">
        <v>515</v>
      </c>
      <c r="E41" s="3">
        <v>12</v>
      </c>
      <c r="F41" s="3">
        <v>2.11</v>
      </c>
      <c r="N41"/>
      <c r="O41"/>
      <c r="P41"/>
      <c r="Q41"/>
    </row>
    <row r="42" spans="2:17">
      <c r="B42" s="3">
        <v>1</v>
      </c>
      <c r="C42" s="3">
        <v>2</v>
      </c>
      <c r="D42" s="3">
        <v>756</v>
      </c>
      <c r="E42" s="3">
        <v>10</v>
      </c>
      <c r="F42" s="3">
        <v>1.25</v>
      </c>
      <c r="N42"/>
      <c r="O42"/>
      <c r="P42"/>
      <c r="Q42"/>
    </row>
    <row r="43" spans="2:17">
      <c r="B43" s="3">
        <v>1</v>
      </c>
      <c r="C43" s="3">
        <v>2</v>
      </c>
      <c r="D43" s="3">
        <v>691</v>
      </c>
      <c r="E43" s="3">
        <v>9</v>
      </c>
      <c r="F43" s="3">
        <v>1.7</v>
      </c>
      <c r="N43"/>
      <c r="O43"/>
      <c r="P43"/>
      <c r="Q43"/>
    </row>
    <row r="44" spans="2:17">
      <c r="B44" s="3">
        <v>1</v>
      </c>
      <c r="C44" s="3">
        <v>3</v>
      </c>
      <c r="D44" s="3">
        <v>582</v>
      </c>
      <c r="E44" s="3">
        <v>13</v>
      </c>
      <c r="F44" s="3">
        <v>0.78</v>
      </c>
      <c r="N44"/>
      <c r="O44"/>
      <c r="P44"/>
      <c r="Q44"/>
    </row>
    <row r="45" spans="2:17">
      <c r="B45" s="3">
        <v>1</v>
      </c>
      <c r="C45" s="3">
        <v>3</v>
      </c>
      <c r="D45" s="3">
        <v>796</v>
      </c>
      <c r="E45" s="3">
        <v>12</v>
      </c>
      <c r="F45" s="3">
        <v>1.68</v>
      </c>
      <c r="N45"/>
      <c r="O45"/>
      <c r="P45"/>
      <c r="Q45"/>
    </row>
    <row r="46" spans="2:17">
      <c r="B46" s="3">
        <v>1</v>
      </c>
      <c r="C46" s="3">
        <v>3</v>
      </c>
      <c r="D46" s="3">
        <v>746</v>
      </c>
      <c r="E46" s="3">
        <v>1</v>
      </c>
      <c r="F46" s="3">
        <v>1.39</v>
      </c>
      <c r="N46"/>
      <c r="O46"/>
      <c r="P46"/>
      <c r="Q46"/>
    </row>
    <row r="47" spans="2:17">
      <c r="B47" s="3">
        <v>1</v>
      </c>
      <c r="C47" s="3">
        <v>3</v>
      </c>
      <c r="D47" s="3">
        <v>230</v>
      </c>
      <c r="E47" s="3">
        <v>7</v>
      </c>
      <c r="F47" s="3">
        <v>1.44</v>
      </c>
      <c r="N47"/>
      <c r="O47"/>
      <c r="P47"/>
      <c r="Q47"/>
    </row>
    <row r="48" spans="2:17">
      <c r="B48" s="3">
        <v>1</v>
      </c>
      <c r="C48" s="3">
        <v>3</v>
      </c>
      <c r="D48" s="3">
        <v>350</v>
      </c>
      <c r="E48" s="3">
        <v>7</v>
      </c>
      <c r="F48" s="3">
        <v>2.98</v>
      </c>
      <c r="N48"/>
      <c r="O48"/>
      <c r="P48"/>
      <c r="Q48"/>
    </row>
    <row r="49" spans="2:17">
      <c r="B49" s="3">
        <v>1</v>
      </c>
      <c r="C49" s="3">
        <v>3</v>
      </c>
      <c r="D49" s="3">
        <v>463</v>
      </c>
      <c r="E49" s="3">
        <v>9</v>
      </c>
      <c r="F49" s="3">
        <v>1.79</v>
      </c>
      <c r="N49"/>
      <c r="O49"/>
      <c r="P49"/>
      <c r="Q49"/>
    </row>
    <row r="50" spans="2:17">
      <c r="B50" s="3">
        <v>1</v>
      </c>
      <c r="C50" s="3">
        <v>3</v>
      </c>
      <c r="D50" s="3">
        <v>472</v>
      </c>
      <c r="E50" s="3">
        <v>13</v>
      </c>
      <c r="F50" s="3">
        <v>1.02</v>
      </c>
      <c r="N50"/>
      <c r="O50"/>
      <c r="P50"/>
      <c r="Q50"/>
    </row>
    <row r="51" spans="2:17">
      <c r="B51" s="3">
        <v>1</v>
      </c>
      <c r="C51" s="3">
        <v>3</v>
      </c>
      <c r="D51" s="3">
        <v>562</v>
      </c>
      <c r="E51" s="3">
        <v>6</v>
      </c>
      <c r="F51" s="3">
        <v>1.98</v>
      </c>
      <c r="N51"/>
      <c r="O51"/>
      <c r="P51"/>
      <c r="Q51"/>
    </row>
    <row r="52" spans="2:17">
      <c r="B52" s="3">
        <v>1</v>
      </c>
      <c r="C52" s="3">
        <v>3</v>
      </c>
      <c r="D52" s="3">
        <v>740</v>
      </c>
      <c r="E52" s="3">
        <v>7</v>
      </c>
      <c r="F52" s="3">
        <v>2.0099999999999998</v>
      </c>
      <c r="N52"/>
      <c r="O52"/>
      <c r="P52"/>
      <c r="Q52"/>
    </row>
    <row r="53" spans="2:17">
      <c r="B53" s="3">
        <v>1</v>
      </c>
      <c r="C53" s="3">
        <v>3</v>
      </c>
      <c r="D53" s="3">
        <v>637</v>
      </c>
      <c r="E53" s="3">
        <v>3</v>
      </c>
      <c r="F53" s="3">
        <v>1.89</v>
      </c>
      <c r="N53"/>
      <c r="O53"/>
      <c r="P53"/>
      <c r="Q53"/>
    </row>
    <row r="54" spans="2:17">
      <c r="B54" s="3">
        <v>1</v>
      </c>
      <c r="C54" s="3">
        <v>3</v>
      </c>
      <c r="D54" s="3">
        <v>523</v>
      </c>
      <c r="E54" s="3">
        <v>2</v>
      </c>
      <c r="F54" s="3">
        <v>1.55</v>
      </c>
      <c r="N54"/>
      <c r="O54"/>
      <c r="P54"/>
      <c r="Q54"/>
    </row>
    <row r="55" spans="2:17">
      <c r="B55" s="3">
        <v>1</v>
      </c>
      <c r="C55" s="3">
        <v>3</v>
      </c>
      <c r="D55" s="3">
        <v>393</v>
      </c>
      <c r="E55" s="3">
        <v>7</v>
      </c>
      <c r="F55" s="3">
        <v>1.67</v>
      </c>
      <c r="N55"/>
      <c r="O55"/>
      <c r="P55"/>
      <c r="Q55"/>
    </row>
    <row r="56" spans="2:17">
      <c r="B56" s="3">
        <v>1</v>
      </c>
      <c r="C56" s="3">
        <v>3</v>
      </c>
      <c r="D56" s="3">
        <v>1007</v>
      </c>
      <c r="E56" s="3">
        <v>3</v>
      </c>
      <c r="F56" s="3">
        <v>1.17</v>
      </c>
      <c r="N56"/>
      <c r="O56"/>
      <c r="P56"/>
      <c r="Q56"/>
    </row>
    <row r="57" spans="2:17">
      <c r="B57" s="3">
        <v>1</v>
      </c>
      <c r="C57" s="3">
        <v>3</v>
      </c>
      <c r="D57" s="3">
        <v>433</v>
      </c>
      <c r="E57" s="3">
        <v>9</v>
      </c>
      <c r="F57" s="3">
        <v>1.44</v>
      </c>
      <c r="N57"/>
      <c r="O57"/>
      <c r="P57"/>
      <c r="Q57"/>
    </row>
    <row r="58" spans="2:17">
      <c r="B58" s="3">
        <v>1</v>
      </c>
      <c r="C58" s="3">
        <v>3</v>
      </c>
      <c r="D58" s="3">
        <v>1440</v>
      </c>
      <c r="E58" s="3">
        <v>13</v>
      </c>
      <c r="F58" s="3">
        <v>1.23</v>
      </c>
      <c r="N58"/>
      <c r="O58"/>
      <c r="P58"/>
      <c r="Q58"/>
    </row>
    <row r="59" spans="2:17">
      <c r="B59" s="3">
        <v>1</v>
      </c>
      <c r="C59" s="3">
        <v>3</v>
      </c>
      <c r="D59" s="3">
        <v>773</v>
      </c>
      <c r="E59" s="3">
        <v>5</v>
      </c>
      <c r="F59" s="3">
        <v>0.68</v>
      </c>
      <c r="N59"/>
      <c r="O59"/>
      <c r="P59"/>
      <c r="Q59"/>
    </row>
    <row r="60" spans="2:17">
      <c r="B60" s="3">
        <v>1</v>
      </c>
      <c r="C60" s="3">
        <v>3</v>
      </c>
      <c r="D60" s="3">
        <v>694</v>
      </c>
      <c r="E60" s="3">
        <v>14</v>
      </c>
      <c r="F60" s="3">
        <v>2.04</v>
      </c>
      <c r="N60"/>
      <c r="O60"/>
      <c r="P60"/>
      <c r="Q60"/>
    </row>
    <row r="61" spans="2:17">
      <c r="B61" s="3">
        <v>1</v>
      </c>
      <c r="C61" s="3">
        <v>3</v>
      </c>
      <c r="D61" s="3">
        <v>498</v>
      </c>
      <c r="E61" s="3">
        <v>15</v>
      </c>
      <c r="F61" s="3">
        <v>0.78</v>
      </c>
      <c r="N61"/>
      <c r="O61"/>
      <c r="P61"/>
      <c r="Q61"/>
    </row>
    <row r="62" spans="2:17">
      <c r="B62" s="3">
        <v>1</v>
      </c>
      <c r="C62" s="3">
        <v>3</v>
      </c>
      <c r="D62" s="3">
        <v>700</v>
      </c>
      <c r="E62" s="3">
        <v>13</v>
      </c>
      <c r="F62" s="3">
        <v>1.66</v>
      </c>
      <c r="N62"/>
      <c r="O62"/>
      <c r="P62"/>
      <c r="Q62"/>
    </row>
    <row r="63" spans="2:17">
      <c r="B63" s="3">
        <v>1</v>
      </c>
      <c r="C63" s="3">
        <v>3</v>
      </c>
      <c r="D63" s="3">
        <v>1134</v>
      </c>
      <c r="E63" s="3">
        <v>10</v>
      </c>
      <c r="F63" s="3">
        <v>0.94</v>
      </c>
      <c r="N63"/>
      <c r="O63"/>
      <c r="P63"/>
      <c r="Q63"/>
    </row>
    <row r="64" spans="2:17">
      <c r="B64" s="3">
        <v>1</v>
      </c>
      <c r="C64" s="3">
        <v>3</v>
      </c>
      <c r="D64" s="3">
        <v>191</v>
      </c>
      <c r="E64" s="3">
        <v>7</v>
      </c>
      <c r="F64" s="3">
        <v>1.2</v>
      </c>
      <c r="N64"/>
      <c r="O64"/>
      <c r="P64"/>
      <c r="Q64"/>
    </row>
    <row r="65" spans="2:17">
      <c r="B65" s="3">
        <v>1</v>
      </c>
      <c r="C65" s="3">
        <v>3</v>
      </c>
      <c r="D65" s="3">
        <v>329</v>
      </c>
      <c r="E65" s="3">
        <v>7</v>
      </c>
      <c r="F65" s="3">
        <v>1.65</v>
      </c>
      <c r="N65"/>
      <c r="O65"/>
      <c r="P65"/>
      <c r="Q65"/>
    </row>
    <row r="66" spans="2:17">
      <c r="B66" s="3">
        <v>1</v>
      </c>
      <c r="C66" s="3">
        <v>3</v>
      </c>
      <c r="D66" s="3">
        <v>1020</v>
      </c>
      <c r="E66" s="3">
        <v>16</v>
      </c>
      <c r="F66" s="3">
        <v>1.1100000000000001</v>
      </c>
      <c r="N66"/>
      <c r="O66"/>
      <c r="P66"/>
      <c r="Q66"/>
    </row>
    <row r="67" spans="2:17">
      <c r="B67" s="3">
        <v>1</v>
      </c>
      <c r="C67" s="3">
        <v>3</v>
      </c>
      <c r="D67" s="3">
        <v>831</v>
      </c>
      <c r="E67" s="3">
        <v>3</v>
      </c>
      <c r="F67" s="3">
        <v>2.16</v>
      </c>
      <c r="N67"/>
      <c r="O67"/>
      <c r="P67"/>
      <c r="Q67"/>
    </row>
    <row r="68" spans="2:17">
      <c r="B68" s="3">
        <v>1</v>
      </c>
      <c r="C68" s="3">
        <v>3</v>
      </c>
      <c r="D68" s="3">
        <v>523</v>
      </c>
      <c r="E68" s="3">
        <v>13</v>
      </c>
      <c r="F68" s="3">
        <v>0.63</v>
      </c>
      <c r="N68"/>
      <c r="O68"/>
      <c r="P68"/>
      <c r="Q68"/>
    </row>
    <row r="69" spans="2:17">
      <c r="B69" s="3">
        <v>1</v>
      </c>
      <c r="C69" s="3">
        <v>3</v>
      </c>
      <c r="D69" s="3">
        <v>92</v>
      </c>
      <c r="E69" s="3">
        <v>6</v>
      </c>
      <c r="F69" s="3">
        <v>1.99</v>
      </c>
      <c r="N69"/>
      <c r="O69"/>
      <c r="P69"/>
      <c r="Q69"/>
    </row>
    <row r="70" spans="2:17">
      <c r="B70" s="3">
        <v>1</v>
      </c>
      <c r="C70" s="3">
        <v>3</v>
      </c>
      <c r="D70" s="3">
        <v>743</v>
      </c>
      <c r="E70" s="3">
        <v>6</v>
      </c>
      <c r="F70" s="3">
        <v>1.49</v>
      </c>
      <c r="N70"/>
      <c r="O70"/>
      <c r="P70"/>
      <c r="Q70"/>
    </row>
    <row r="71" spans="2:17">
      <c r="B71" s="3">
        <v>1</v>
      </c>
      <c r="C71" s="3">
        <v>3</v>
      </c>
      <c r="D71" s="3">
        <v>597</v>
      </c>
      <c r="E71" s="3">
        <v>11</v>
      </c>
      <c r="F71" s="3">
        <v>0.78</v>
      </c>
      <c r="N71"/>
      <c r="O71"/>
      <c r="P71"/>
      <c r="Q71"/>
    </row>
    <row r="72" spans="2:17">
      <c r="B72" s="3">
        <v>1</v>
      </c>
      <c r="C72" s="3">
        <v>3</v>
      </c>
      <c r="D72" s="3">
        <v>347</v>
      </c>
      <c r="E72" s="3">
        <v>9</v>
      </c>
      <c r="F72" s="3">
        <v>1.8</v>
      </c>
      <c r="N72"/>
      <c r="O72"/>
      <c r="P72"/>
      <c r="Q72"/>
    </row>
    <row r="73" spans="2:17">
      <c r="B73" s="3">
        <v>1</v>
      </c>
      <c r="C73" s="3">
        <v>3</v>
      </c>
      <c r="D73" s="3">
        <v>484</v>
      </c>
      <c r="E73" s="3">
        <v>1</v>
      </c>
      <c r="F73" s="3">
        <v>2.14</v>
      </c>
      <c r="N73"/>
      <c r="O73"/>
      <c r="P73"/>
      <c r="Q73"/>
    </row>
    <row r="74" spans="2:17">
      <c r="B74" s="3">
        <v>1</v>
      </c>
      <c r="C74" s="3">
        <v>3</v>
      </c>
      <c r="D74" s="3">
        <v>365</v>
      </c>
      <c r="E74" s="3">
        <v>10</v>
      </c>
      <c r="F74" s="3">
        <v>0.9</v>
      </c>
      <c r="N74"/>
      <c r="O74"/>
      <c r="P74"/>
      <c r="Q74"/>
    </row>
    <row r="75" spans="2:17">
      <c r="B75" s="3">
        <v>1</v>
      </c>
      <c r="C75" s="3">
        <v>3</v>
      </c>
      <c r="D75" s="3">
        <v>933</v>
      </c>
      <c r="E75" s="3">
        <v>14</v>
      </c>
      <c r="F75" s="3">
        <v>0.31</v>
      </c>
      <c r="N75"/>
      <c r="O75"/>
      <c r="P75"/>
      <c r="Q75"/>
    </row>
    <row r="76" spans="2:17">
      <c r="B76" s="3">
        <v>1</v>
      </c>
      <c r="C76" s="3">
        <v>3</v>
      </c>
      <c r="D76" s="3">
        <v>660</v>
      </c>
      <c r="E76" s="3">
        <v>9</v>
      </c>
      <c r="F76" s="3">
        <v>1.2</v>
      </c>
      <c r="N76"/>
      <c r="O76"/>
      <c r="P76"/>
      <c r="Q76"/>
    </row>
    <row r="77" spans="2:17">
      <c r="B77" s="3">
        <v>1</v>
      </c>
      <c r="C77" s="3">
        <v>3</v>
      </c>
      <c r="D77" s="3">
        <v>852</v>
      </c>
      <c r="E77" s="3">
        <v>14</v>
      </c>
      <c r="F77" s="3">
        <v>2.02</v>
      </c>
      <c r="N77"/>
      <c r="O77"/>
      <c r="P77"/>
      <c r="Q77"/>
    </row>
    <row r="78" spans="2:17">
      <c r="B78" s="3">
        <v>1</v>
      </c>
      <c r="C78" s="3">
        <v>3</v>
      </c>
      <c r="D78" s="3">
        <v>225</v>
      </c>
      <c r="E78" s="3">
        <v>10</v>
      </c>
      <c r="F78" s="3">
        <v>1.48</v>
      </c>
      <c r="N78"/>
      <c r="O78"/>
      <c r="P78"/>
      <c r="Q78"/>
    </row>
    <row r="79" spans="2:17">
      <c r="B79" s="3">
        <v>1</v>
      </c>
      <c r="C79" s="3">
        <v>3</v>
      </c>
      <c r="D79" s="3">
        <v>451</v>
      </c>
      <c r="E79" s="3">
        <v>9</v>
      </c>
      <c r="F79" s="3">
        <v>1.7</v>
      </c>
      <c r="N79"/>
      <c r="O79"/>
      <c r="P79"/>
      <c r="Q79"/>
    </row>
    <row r="80" spans="2:17">
      <c r="B80" s="3">
        <v>1</v>
      </c>
      <c r="C80" s="3">
        <v>3</v>
      </c>
      <c r="D80" s="3">
        <v>828</v>
      </c>
      <c r="E80" s="3">
        <v>9</v>
      </c>
      <c r="F80" s="3">
        <v>1.34</v>
      </c>
      <c r="N80"/>
      <c r="O80"/>
      <c r="P80"/>
      <c r="Q80"/>
    </row>
    <row r="81" spans="2:17">
      <c r="B81" s="3">
        <v>1</v>
      </c>
      <c r="C81" s="3">
        <v>3</v>
      </c>
      <c r="D81" s="3">
        <v>708</v>
      </c>
      <c r="E81" s="3">
        <v>13</v>
      </c>
      <c r="F81" s="3">
        <v>2.35</v>
      </c>
      <c r="N81"/>
      <c r="O81"/>
      <c r="P81"/>
      <c r="Q81"/>
    </row>
    <row r="82" spans="2:17">
      <c r="B82" s="3">
        <v>1</v>
      </c>
      <c r="C82" s="3">
        <v>3</v>
      </c>
      <c r="D82" s="3">
        <v>733</v>
      </c>
      <c r="E82" s="3">
        <v>2</v>
      </c>
      <c r="F82" s="3">
        <v>1.21</v>
      </c>
      <c r="N82"/>
      <c r="O82"/>
      <c r="P82"/>
      <c r="Q82"/>
    </row>
    <row r="83" spans="2:17">
      <c r="B83" s="3">
        <v>1</v>
      </c>
      <c r="C83" s="3">
        <v>3</v>
      </c>
      <c r="D83" s="3">
        <v>291</v>
      </c>
      <c r="E83" s="3">
        <v>3</v>
      </c>
      <c r="F83" s="3">
        <v>2.42</v>
      </c>
      <c r="N83"/>
      <c r="O83"/>
      <c r="P83"/>
      <c r="Q83"/>
    </row>
    <row r="84" spans="2:17">
      <c r="B84" s="3">
        <v>1</v>
      </c>
      <c r="C84" s="3">
        <v>3</v>
      </c>
      <c r="D84" s="3">
        <v>377</v>
      </c>
      <c r="E84" s="3">
        <v>11</v>
      </c>
      <c r="F84" s="3">
        <v>2.2999999999999998</v>
      </c>
      <c r="N84"/>
      <c r="O84"/>
      <c r="P84"/>
      <c r="Q84"/>
    </row>
    <row r="85" spans="2:17">
      <c r="B85" s="3">
        <v>1</v>
      </c>
      <c r="C85" s="3">
        <v>3</v>
      </c>
      <c r="D85" s="3">
        <v>385</v>
      </c>
      <c r="E85" s="3">
        <v>9</v>
      </c>
      <c r="F85" s="3">
        <v>1.76</v>
      </c>
      <c r="N85"/>
      <c r="O85"/>
      <c r="P85"/>
      <c r="Q85"/>
    </row>
    <row r="86" spans="2:17">
      <c r="B86" s="3">
        <v>1</v>
      </c>
      <c r="C86" s="3">
        <v>3</v>
      </c>
      <c r="D86" s="3">
        <v>764</v>
      </c>
      <c r="E86" s="3">
        <v>15</v>
      </c>
      <c r="F86" s="3">
        <v>1.37</v>
      </c>
      <c r="N86"/>
      <c r="O86"/>
      <c r="P86"/>
      <c r="Q86"/>
    </row>
    <row r="87" spans="2:17">
      <c r="B87" s="3">
        <v>1</v>
      </c>
      <c r="C87" s="3">
        <v>3</v>
      </c>
      <c r="D87" s="3">
        <v>380</v>
      </c>
      <c r="E87" s="3">
        <v>14</v>
      </c>
      <c r="F87" s="3">
        <v>1.69</v>
      </c>
      <c r="N87"/>
      <c r="O87"/>
      <c r="P87"/>
      <c r="Q87"/>
    </row>
    <row r="88" spans="2:17">
      <c r="B88" s="3">
        <v>1</v>
      </c>
      <c r="C88" s="3">
        <v>3</v>
      </c>
      <c r="D88" s="3">
        <v>231</v>
      </c>
      <c r="E88" s="3">
        <v>14</v>
      </c>
      <c r="F88" s="3">
        <v>0.86</v>
      </c>
      <c r="N88"/>
      <c r="O88"/>
      <c r="P88"/>
      <c r="Q88"/>
    </row>
    <row r="89" spans="2:17">
      <c r="B89" s="3">
        <v>1</v>
      </c>
      <c r="C89" s="3">
        <v>3</v>
      </c>
      <c r="D89" s="3">
        <v>441</v>
      </c>
      <c r="E89" s="3">
        <v>8</v>
      </c>
      <c r="F89" s="3">
        <v>0.62</v>
      </c>
      <c r="N89"/>
      <c r="O89"/>
      <c r="P89"/>
      <c r="Q89"/>
    </row>
    <row r="90" spans="2:17">
      <c r="B90" s="3">
        <v>1</v>
      </c>
      <c r="C90" s="3">
        <v>3</v>
      </c>
      <c r="D90" s="3">
        <v>703</v>
      </c>
      <c r="E90" s="3">
        <v>7</v>
      </c>
      <c r="F90" s="3">
        <v>0.47</v>
      </c>
      <c r="N90"/>
      <c r="O90"/>
      <c r="P90"/>
      <c r="Q90"/>
    </row>
    <row r="91" spans="2:17">
      <c r="B91" s="3">
        <v>1</v>
      </c>
      <c r="C91" s="3">
        <v>3</v>
      </c>
      <c r="D91" s="3">
        <v>329</v>
      </c>
      <c r="E91" s="3">
        <v>8</v>
      </c>
      <c r="F91" s="3">
        <v>0.22</v>
      </c>
      <c r="N91"/>
      <c r="O91"/>
      <c r="P91"/>
      <c r="Q91"/>
    </row>
    <row r="92" spans="2:17">
      <c r="B92" s="3">
        <v>1</v>
      </c>
      <c r="C92" s="3">
        <v>3</v>
      </c>
      <c r="D92" s="3">
        <v>801</v>
      </c>
      <c r="E92" s="3">
        <v>10</v>
      </c>
      <c r="F92" s="3">
        <v>2.46</v>
      </c>
      <c r="N92"/>
      <c r="O92"/>
      <c r="P92"/>
      <c r="Q92"/>
    </row>
    <row r="93" spans="2:17">
      <c r="B93" s="3">
        <v>1</v>
      </c>
      <c r="C93" s="3">
        <v>3</v>
      </c>
      <c r="D93" s="3">
        <v>616</v>
      </c>
      <c r="E93" s="3">
        <v>8</v>
      </c>
      <c r="F93" s="3">
        <v>1.24</v>
      </c>
      <c r="N93"/>
      <c r="O93"/>
      <c r="P93"/>
      <c r="Q93"/>
    </row>
    <row r="94" spans="2:17">
      <c r="B94" s="3">
        <v>1</v>
      </c>
      <c r="C94" s="3">
        <v>3</v>
      </c>
      <c r="D94" s="3">
        <v>732</v>
      </c>
      <c r="E94" s="3">
        <v>17</v>
      </c>
      <c r="F94" s="3">
        <v>1.86</v>
      </c>
      <c r="N94"/>
      <c r="O94"/>
      <c r="P94"/>
      <c r="Q94"/>
    </row>
    <row r="95" spans="2:17">
      <c r="B95" s="3">
        <v>1</v>
      </c>
      <c r="C95" s="3">
        <v>3</v>
      </c>
      <c r="D95" s="3">
        <v>1087</v>
      </c>
      <c r="E95" s="3">
        <v>10</v>
      </c>
      <c r="F95" s="3">
        <v>0.76</v>
      </c>
      <c r="N95"/>
      <c r="O95"/>
      <c r="P95"/>
      <c r="Q95"/>
    </row>
    <row r="96" spans="2:17">
      <c r="B96" s="3">
        <v>1</v>
      </c>
      <c r="C96" s="3">
        <v>3</v>
      </c>
      <c r="D96" s="3">
        <v>329</v>
      </c>
      <c r="E96" s="3">
        <v>11</v>
      </c>
      <c r="F96" s="3">
        <v>2.97</v>
      </c>
      <c r="N96"/>
      <c r="O96"/>
      <c r="P96"/>
      <c r="Q96"/>
    </row>
    <row r="97" spans="2:17">
      <c r="B97" s="3">
        <v>1</v>
      </c>
      <c r="C97" s="3">
        <v>3</v>
      </c>
      <c r="D97" s="3">
        <v>538</v>
      </c>
      <c r="E97" s="3">
        <v>7</v>
      </c>
      <c r="F97" s="3">
        <v>1.01</v>
      </c>
      <c r="N97"/>
      <c r="O97"/>
      <c r="P97"/>
      <c r="Q97"/>
    </row>
    <row r="98" spans="2:17">
      <c r="B98" s="3">
        <v>1</v>
      </c>
      <c r="C98" s="3">
        <v>3</v>
      </c>
      <c r="D98" s="3">
        <v>367</v>
      </c>
      <c r="E98" s="3">
        <v>13</v>
      </c>
      <c r="F98" s="3">
        <v>2.2000000000000002</v>
      </c>
      <c r="N98"/>
      <c r="O98"/>
      <c r="P98"/>
      <c r="Q98"/>
    </row>
    <row r="99" spans="2:17">
      <c r="B99" s="3">
        <v>1</v>
      </c>
      <c r="C99" s="3">
        <v>3</v>
      </c>
      <c r="D99" s="3">
        <v>628</v>
      </c>
      <c r="E99" s="3">
        <v>20</v>
      </c>
      <c r="F99" s="3">
        <v>0.45</v>
      </c>
      <c r="N99"/>
      <c r="O99"/>
      <c r="P99"/>
      <c r="Q99"/>
    </row>
    <row r="100" spans="2:17">
      <c r="B100" s="3">
        <v>1</v>
      </c>
      <c r="C100" s="3">
        <v>3</v>
      </c>
      <c r="D100" s="3">
        <v>489</v>
      </c>
      <c r="E100" s="3">
        <v>17</v>
      </c>
      <c r="F100" s="3">
        <v>1.38</v>
      </c>
      <c r="N100"/>
      <c r="O100"/>
      <c r="P100"/>
      <c r="Q100"/>
    </row>
    <row r="101" spans="2:17">
      <c r="B101" s="3">
        <v>1</v>
      </c>
      <c r="C101" s="3">
        <v>3</v>
      </c>
      <c r="D101" s="3">
        <v>345</v>
      </c>
      <c r="E101" s="3">
        <v>15</v>
      </c>
      <c r="F101" s="3">
        <v>1.58</v>
      </c>
      <c r="N101"/>
      <c r="O101"/>
      <c r="P101"/>
      <c r="Q101"/>
    </row>
    <row r="102" spans="2:17">
      <c r="B102" s="3">
        <v>1</v>
      </c>
      <c r="C102" s="3">
        <v>3</v>
      </c>
      <c r="D102" s="3">
        <v>588</v>
      </c>
      <c r="E102" s="3">
        <v>10</v>
      </c>
      <c r="F102" s="3">
        <v>1.38</v>
      </c>
      <c r="N102"/>
      <c r="O102"/>
      <c r="P102"/>
      <c r="Q102"/>
    </row>
    <row r="103" spans="2:17">
      <c r="B103" s="3">
        <v>1</v>
      </c>
      <c r="C103" s="3">
        <v>3</v>
      </c>
      <c r="D103" s="3">
        <v>361</v>
      </c>
      <c r="E103" s="3">
        <v>7</v>
      </c>
      <c r="F103" s="3">
        <v>1.63</v>
      </c>
      <c r="N103"/>
      <c r="O103"/>
      <c r="P103"/>
      <c r="Q103"/>
    </row>
    <row r="104" spans="2:17">
      <c r="B104" s="3">
        <v>2</v>
      </c>
      <c r="C104" s="3">
        <v>1</v>
      </c>
      <c r="D104" s="3">
        <v>547</v>
      </c>
      <c r="E104" s="3">
        <v>11</v>
      </c>
      <c r="F104" s="3">
        <v>2.68</v>
      </c>
      <c r="N104"/>
      <c r="O104"/>
      <c r="P104"/>
      <c r="Q104"/>
    </row>
    <row r="105" spans="2:17">
      <c r="B105" s="3">
        <v>2</v>
      </c>
      <c r="C105" s="3">
        <v>1</v>
      </c>
      <c r="D105" s="3">
        <v>877</v>
      </c>
      <c r="E105" s="3">
        <v>7</v>
      </c>
      <c r="F105" s="3">
        <v>1.06</v>
      </c>
      <c r="N105"/>
      <c r="O105"/>
      <c r="P105"/>
      <c r="Q105"/>
    </row>
    <row r="106" spans="2:17">
      <c r="B106" s="3">
        <v>2</v>
      </c>
      <c r="C106" s="3">
        <v>1</v>
      </c>
      <c r="D106" s="3">
        <v>1213</v>
      </c>
      <c r="E106" s="3">
        <v>19</v>
      </c>
      <c r="F106" s="3">
        <v>1.28</v>
      </c>
      <c r="N106"/>
      <c r="O106"/>
      <c r="P106"/>
      <c r="Q106"/>
    </row>
    <row r="107" spans="2:17">
      <c r="B107" s="3">
        <v>2</v>
      </c>
      <c r="C107" s="3">
        <v>1</v>
      </c>
      <c r="D107" s="3">
        <v>926</v>
      </c>
      <c r="E107" s="3">
        <v>8</v>
      </c>
      <c r="F107" s="3">
        <v>1.24</v>
      </c>
      <c r="N107"/>
      <c r="O107"/>
      <c r="P107"/>
      <c r="Q107"/>
    </row>
    <row r="108" spans="2:17">
      <c r="B108" s="3">
        <v>2</v>
      </c>
      <c r="C108" s="3">
        <v>1</v>
      </c>
      <c r="D108" s="3">
        <v>1596</v>
      </c>
      <c r="E108" s="3">
        <v>19</v>
      </c>
      <c r="F108" s="3">
        <v>1.72</v>
      </c>
      <c r="N108"/>
      <c r="O108"/>
      <c r="P108"/>
      <c r="Q108"/>
    </row>
    <row r="109" spans="2:17">
      <c r="B109" s="3">
        <v>2</v>
      </c>
      <c r="C109" s="3">
        <v>1</v>
      </c>
      <c r="D109" s="3">
        <v>1561</v>
      </c>
      <c r="E109" s="3">
        <v>7</v>
      </c>
      <c r="F109" s="3">
        <v>1.76</v>
      </c>
      <c r="N109"/>
      <c r="O109"/>
      <c r="P109"/>
      <c r="Q109"/>
    </row>
    <row r="110" spans="2:17">
      <c r="B110" s="3">
        <v>2</v>
      </c>
      <c r="C110" s="3">
        <v>1</v>
      </c>
      <c r="D110" s="3">
        <v>1226</v>
      </c>
      <c r="E110" s="3">
        <v>14</v>
      </c>
      <c r="F110" s="3">
        <v>0.99</v>
      </c>
      <c r="N110"/>
      <c r="O110"/>
      <c r="P110"/>
      <c r="Q110"/>
    </row>
    <row r="111" spans="2:17">
      <c r="B111" s="3">
        <v>2</v>
      </c>
      <c r="C111" s="3">
        <v>1</v>
      </c>
      <c r="D111" s="3">
        <v>1330</v>
      </c>
      <c r="E111" s="3">
        <v>12</v>
      </c>
      <c r="F111" s="3">
        <v>1.93</v>
      </c>
      <c r="N111"/>
      <c r="O111"/>
      <c r="P111"/>
      <c r="Q111"/>
    </row>
    <row r="112" spans="2:17">
      <c r="B112" s="3">
        <v>2</v>
      </c>
      <c r="C112" s="3">
        <v>1</v>
      </c>
      <c r="D112" s="3">
        <v>1180</v>
      </c>
      <c r="E112" s="3">
        <v>18</v>
      </c>
      <c r="F112" s="3">
        <v>1.38</v>
      </c>
      <c r="N112"/>
      <c r="O112"/>
      <c r="P112"/>
      <c r="Q112"/>
    </row>
    <row r="113" spans="2:17">
      <c r="B113" s="3">
        <v>2</v>
      </c>
      <c r="C113" s="3">
        <v>1</v>
      </c>
      <c r="D113" s="3">
        <v>1330</v>
      </c>
      <c r="E113" s="3">
        <v>14</v>
      </c>
      <c r="F113" s="3">
        <v>1.03</v>
      </c>
      <c r="N113"/>
      <c r="O113"/>
      <c r="P113"/>
      <c r="Q113"/>
    </row>
    <row r="114" spans="2:17">
      <c r="B114" s="3">
        <v>2</v>
      </c>
      <c r="C114" s="3">
        <v>1</v>
      </c>
      <c r="D114" s="3">
        <v>1707</v>
      </c>
      <c r="E114" s="3">
        <v>12</v>
      </c>
      <c r="F114" s="3">
        <v>1.85</v>
      </c>
      <c r="N114"/>
      <c r="O114"/>
      <c r="P114"/>
      <c r="Q114"/>
    </row>
    <row r="115" spans="2:17">
      <c r="B115" s="3">
        <v>2</v>
      </c>
      <c r="C115" s="3">
        <v>1</v>
      </c>
      <c r="D115" s="3">
        <v>947</v>
      </c>
      <c r="E115" s="3">
        <v>12</v>
      </c>
      <c r="F115" s="3">
        <v>0.68</v>
      </c>
      <c r="N115"/>
      <c r="O115"/>
      <c r="P115"/>
      <c r="Q115"/>
    </row>
    <row r="116" spans="2:17">
      <c r="B116" s="3">
        <v>2</v>
      </c>
      <c r="C116" s="3">
        <v>1</v>
      </c>
      <c r="D116" s="3">
        <v>667</v>
      </c>
      <c r="E116" s="3">
        <v>11</v>
      </c>
      <c r="F116" s="3">
        <v>1.95</v>
      </c>
      <c r="N116"/>
      <c r="O116"/>
      <c r="P116"/>
      <c r="Q116"/>
    </row>
    <row r="117" spans="2:17">
      <c r="B117" s="3">
        <v>2</v>
      </c>
      <c r="C117" s="3">
        <v>1</v>
      </c>
      <c r="D117" s="3">
        <v>891</v>
      </c>
      <c r="E117" s="3">
        <v>11</v>
      </c>
      <c r="F117" s="3">
        <v>1.1399999999999999</v>
      </c>
      <c r="N117"/>
      <c r="O117"/>
      <c r="P117"/>
      <c r="Q117"/>
    </row>
    <row r="118" spans="2:17">
      <c r="B118" s="3">
        <v>2</v>
      </c>
      <c r="C118" s="3">
        <v>1</v>
      </c>
      <c r="D118" s="3">
        <v>401</v>
      </c>
      <c r="E118" s="3">
        <v>5</v>
      </c>
      <c r="F118" s="3">
        <v>0.44</v>
      </c>
      <c r="N118"/>
      <c r="O118"/>
      <c r="P118"/>
      <c r="Q118"/>
    </row>
    <row r="119" spans="2:17">
      <c r="B119" s="3">
        <v>2</v>
      </c>
      <c r="C119" s="3">
        <v>1</v>
      </c>
      <c r="D119" s="3">
        <v>1230</v>
      </c>
      <c r="E119" s="3">
        <v>16</v>
      </c>
      <c r="F119" s="3">
        <v>1.95</v>
      </c>
      <c r="N119"/>
      <c r="O119"/>
      <c r="P119"/>
      <c r="Q119"/>
    </row>
    <row r="120" spans="2:17">
      <c r="B120" s="3">
        <v>2</v>
      </c>
      <c r="C120" s="3">
        <v>1</v>
      </c>
      <c r="D120" s="3">
        <v>1181</v>
      </c>
      <c r="E120" s="3">
        <v>13</v>
      </c>
      <c r="F120" s="3">
        <v>1.39</v>
      </c>
      <c r="N120"/>
      <c r="O120"/>
      <c r="P120"/>
      <c r="Q120"/>
    </row>
    <row r="121" spans="2:17">
      <c r="B121" s="3">
        <v>2</v>
      </c>
      <c r="C121" s="3">
        <v>1</v>
      </c>
      <c r="D121" s="3">
        <v>1291</v>
      </c>
      <c r="E121" s="3">
        <v>14</v>
      </c>
      <c r="F121" s="3">
        <v>1.26</v>
      </c>
      <c r="N121"/>
      <c r="O121"/>
      <c r="P121"/>
      <c r="Q121"/>
    </row>
    <row r="122" spans="2:17">
      <c r="B122" s="3">
        <v>2</v>
      </c>
      <c r="C122" s="3">
        <v>1</v>
      </c>
      <c r="D122" s="3">
        <v>374</v>
      </c>
      <c r="E122" s="3">
        <v>9</v>
      </c>
      <c r="F122" s="3">
        <v>1.27</v>
      </c>
      <c r="N122"/>
      <c r="O122"/>
      <c r="P122"/>
      <c r="Q122"/>
    </row>
    <row r="123" spans="2:17">
      <c r="B123" s="3">
        <v>2</v>
      </c>
      <c r="C123" s="3">
        <v>1</v>
      </c>
      <c r="D123" s="3">
        <v>981</v>
      </c>
      <c r="E123" s="3">
        <v>16</v>
      </c>
      <c r="F123" s="3">
        <v>1.1200000000000001</v>
      </c>
      <c r="N123"/>
      <c r="O123"/>
      <c r="P123"/>
      <c r="Q123"/>
    </row>
    <row r="124" spans="2:17">
      <c r="B124" s="3">
        <v>2</v>
      </c>
      <c r="C124" s="3">
        <v>1</v>
      </c>
      <c r="D124" s="3">
        <v>702</v>
      </c>
      <c r="E124" s="3">
        <v>12</v>
      </c>
      <c r="F124" s="3">
        <v>2.0699999999999998</v>
      </c>
      <c r="N124"/>
      <c r="O124"/>
      <c r="P124"/>
      <c r="Q124"/>
    </row>
    <row r="125" spans="2:17">
      <c r="B125" s="3">
        <v>2</v>
      </c>
      <c r="C125" s="3">
        <v>1</v>
      </c>
      <c r="D125" s="3">
        <v>1326</v>
      </c>
      <c r="E125" s="3">
        <v>12</v>
      </c>
      <c r="F125" s="3">
        <v>1.05</v>
      </c>
      <c r="N125"/>
      <c r="O125"/>
      <c r="P125"/>
      <c r="Q125"/>
    </row>
    <row r="126" spans="2:17">
      <c r="B126" s="3">
        <v>2</v>
      </c>
      <c r="C126" s="3">
        <v>1</v>
      </c>
      <c r="D126" s="3">
        <v>947</v>
      </c>
      <c r="E126" s="3">
        <v>12</v>
      </c>
      <c r="F126" s="3">
        <v>0.56000000000000005</v>
      </c>
      <c r="N126"/>
      <c r="O126"/>
      <c r="P126"/>
      <c r="Q126"/>
    </row>
    <row r="127" spans="2:17">
      <c r="B127" s="3">
        <v>2</v>
      </c>
      <c r="C127" s="3">
        <v>1</v>
      </c>
      <c r="D127" s="3">
        <v>1642</v>
      </c>
      <c r="E127" s="3">
        <v>12</v>
      </c>
      <c r="F127" s="3">
        <v>0.62</v>
      </c>
      <c r="N127"/>
      <c r="O127"/>
      <c r="P127"/>
      <c r="Q127"/>
    </row>
    <row r="128" spans="2:17">
      <c r="B128" s="3">
        <v>2</v>
      </c>
      <c r="C128" s="3">
        <v>1</v>
      </c>
      <c r="D128" s="3">
        <v>657</v>
      </c>
      <c r="E128" s="3">
        <v>2</v>
      </c>
      <c r="F128" s="3">
        <v>2.12</v>
      </c>
      <c r="N128"/>
      <c r="O128"/>
      <c r="P128"/>
      <c r="Q128"/>
    </row>
    <row r="129" spans="2:17">
      <c r="B129" s="3">
        <v>2</v>
      </c>
      <c r="C129" s="3">
        <v>1</v>
      </c>
      <c r="D129" s="3">
        <v>1199</v>
      </c>
      <c r="E129" s="3">
        <v>12</v>
      </c>
      <c r="F129" s="3">
        <v>2.79</v>
      </c>
      <c r="N129"/>
      <c r="O129"/>
      <c r="P129"/>
      <c r="Q129"/>
    </row>
    <row r="130" spans="2:17">
      <c r="B130" s="3">
        <v>2</v>
      </c>
      <c r="C130" s="3">
        <v>1</v>
      </c>
      <c r="D130" s="3">
        <v>1186</v>
      </c>
      <c r="E130" s="3">
        <v>11</v>
      </c>
      <c r="F130" s="3">
        <v>1.37</v>
      </c>
      <c r="N130"/>
      <c r="O130"/>
      <c r="P130"/>
      <c r="Q130"/>
    </row>
    <row r="131" spans="2:17">
      <c r="B131" s="3">
        <v>2</v>
      </c>
      <c r="C131" s="3">
        <v>1</v>
      </c>
      <c r="D131" s="3">
        <v>1097</v>
      </c>
      <c r="E131" s="3">
        <v>23</v>
      </c>
      <c r="F131" s="3">
        <v>0.47</v>
      </c>
      <c r="N131"/>
      <c r="O131"/>
      <c r="P131"/>
      <c r="Q131"/>
    </row>
    <row r="132" spans="2:17">
      <c r="B132" s="3">
        <v>2</v>
      </c>
      <c r="C132" s="3">
        <v>1</v>
      </c>
      <c r="D132" s="3">
        <v>537</v>
      </c>
      <c r="E132" s="3">
        <v>5</v>
      </c>
      <c r="F132" s="3">
        <v>1.37</v>
      </c>
      <c r="N132"/>
      <c r="O132"/>
      <c r="P132"/>
      <c r="Q132"/>
    </row>
    <row r="133" spans="2:17">
      <c r="B133" s="3">
        <v>2</v>
      </c>
      <c r="C133" s="3">
        <v>1</v>
      </c>
      <c r="D133" s="3">
        <v>1287</v>
      </c>
      <c r="E133" s="3">
        <v>9</v>
      </c>
      <c r="F133" s="3">
        <v>1.49</v>
      </c>
      <c r="N133"/>
      <c r="O133"/>
      <c r="P133"/>
      <c r="Q133"/>
    </row>
    <row r="134" spans="2:17">
      <c r="B134" s="3">
        <v>2</v>
      </c>
      <c r="C134" s="3">
        <v>1</v>
      </c>
      <c r="D134" s="3">
        <v>1175</v>
      </c>
      <c r="E134" s="3">
        <v>9</v>
      </c>
      <c r="F134" s="3">
        <v>1.35</v>
      </c>
      <c r="N134"/>
      <c r="O134"/>
      <c r="P134"/>
      <c r="Q134"/>
    </row>
    <row r="135" spans="2:17">
      <c r="B135" s="3">
        <v>2</v>
      </c>
      <c r="C135" s="3">
        <v>1</v>
      </c>
      <c r="D135" s="3">
        <v>1090</v>
      </c>
      <c r="E135" s="3">
        <v>11</v>
      </c>
      <c r="F135" s="3">
        <v>1.05</v>
      </c>
      <c r="N135"/>
      <c r="O135"/>
      <c r="P135"/>
      <c r="Q135"/>
    </row>
    <row r="136" spans="2:17">
      <c r="B136" s="3">
        <v>2</v>
      </c>
      <c r="C136" s="3">
        <v>1</v>
      </c>
      <c r="D136" s="3">
        <v>1946</v>
      </c>
      <c r="E136" s="3">
        <v>18</v>
      </c>
      <c r="F136" s="3">
        <v>1.19</v>
      </c>
      <c r="N136"/>
      <c r="O136"/>
      <c r="P136"/>
      <c r="Q136"/>
    </row>
    <row r="137" spans="2:17">
      <c r="B137" s="3">
        <v>2</v>
      </c>
      <c r="C137" s="3">
        <v>1</v>
      </c>
      <c r="D137" s="3">
        <v>1272</v>
      </c>
      <c r="E137" s="3">
        <v>5</v>
      </c>
      <c r="F137" s="3">
        <v>1.7</v>
      </c>
      <c r="N137"/>
      <c r="O137"/>
      <c r="P137"/>
      <c r="Q137"/>
    </row>
    <row r="138" spans="2:17">
      <c r="B138" s="3">
        <v>2</v>
      </c>
      <c r="C138" s="3">
        <v>1</v>
      </c>
      <c r="D138" s="3">
        <v>732</v>
      </c>
      <c r="E138" s="3">
        <v>10</v>
      </c>
      <c r="F138" s="3">
        <v>0.88</v>
      </c>
      <c r="N138"/>
      <c r="O138"/>
      <c r="P138"/>
      <c r="Q138"/>
    </row>
    <row r="139" spans="2:17">
      <c r="B139" s="3">
        <v>2</v>
      </c>
      <c r="C139" s="3">
        <v>1</v>
      </c>
      <c r="D139" s="3">
        <v>572</v>
      </c>
      <c r="E139" s="3">
        <v>4</v>
      </c>
      <c r="F139" s="3">
        <v>1.55</v>
      </c>
      <c r="N139"/>
      <c r="O139"/>
      <c r="P139"/>
      <c r="Q139"/>
    </row>
    <row r="140" spans="2:17">
      <c r="B140" s="3">
        <v>2</v>
      </c>
      <c r="C140" s="3">
        <v>1</v>
      </c>
      <c r="D140" s="3">
        <v>1434</v>
      </c>
      <c r="E140" s="3">
        <v>14</v>
      </c>
      <c r="F140" s="3">
        <v>1.99</v>
      </c>
      <c r="N140"/>
      <c r="O140"/>
      <c r="P140"/>
      <c r="Q140"/>
    </row>
    <row r="141" spans="2:17">
      <c r="B141" s="3">
        <v>2</v>
      </c>
      <c r="C141" s="3">
        <v>1</v>
      </c>
      <c r="D141" s="3">
        <v>132</v>
      </c>
      <c r="E141" s="3">
        <v>16</v>
      </c>
      <c r="F141" s="3">
        <v>1.78</v>
      </c>
      <c r="N141"/>
      <c r="O141"/>
      <c r="P141"/>
      <c r="Q141"/>
    </row>
    <row r="142" spans="2:17">
      <c r="B142" s="3">
        <v>2</v>
      </c>
      <c r="C142" s="3">
        <v>1</v>
      </c>
      <c r="D142" s="3">
        <v>1158</v>
      </c>
      <c r="E142" s="3">
        <v>12</v>
      </c>
      <c r="F142" s="3">
        <v>0.96</v>
      </c>
      <c r="N142"/>
      <c r="O142"/>
      <c r="P142"/>
      <c r="Q142"/>
    </row>
    <row r="143" spans="2:17">
      <c r="B143" s="3">
        <v>2</v>
      </c>
      <c r="C143" s="3">
        <v>1</v>
      </c>
      <c r="D143" s="3">
        <v>1117</v>
      </c>
      <c r="E143" s="3">
        <v>18</v>
      </c>
      <c r="F143" s="3">
        <v>1.33</v>
      </c>
      <c r="N143"/>
      <c r="O143"/>
      <c r="P143"/>
      <c r="Q143"/>
    </row>
    <row r="144" spans="2:17">
      <c r="B144" s="3">
        <v>2</v>
      </c>
      <c r="C144" s="3">
        <v>1</v>
      </c>
      <c r="D144" s="3">
        <v>1780</v>
      </c>
      <c r="E144" s="3">
        <v>23</v>
      </c>
      <c r="F144" s="3">
        <v>1.1299999999999999</v>
      </c>
      <c r="N144"/>
      <c r="O144"/>
      <c r="P144"/>
      <c r="Q144"/>
    </row>
    <row r="145" spans="2:17">
      <c r="B145" s="3">
        <v>2</v>
      </c>
      <c r="C145" s="3">
        <v>1</v>
      </c>
      <c r="D145" s="3">
        <v>817</v>
      </c>
      <c r="E145" s="3">
        <v>3</v>
      </c>
      <c r="F145" s="3">
        <v>2.1</v>
      </c>
      <c r="N145"/>
      <c r="O145"/>
      <c r="P145"/>
      <c r="Q145"/>
    </row>
    <row r="146" spans="2:17">
      <c r="B146" s="3">
        <v>2</v>
      </c>
      <c r="C146" s="3">
        <v>1</v>
      </c>
      <c r="D146" s="3">
        <v>1379</v>
      </c>
      <c r="E146" s="3">
        <v>14</v>
      </c>
      <c r="F146" s="3">
        <v>0.68</v>
      </c>
      <c r="N146"/>
      <c r="O146"/>
      <c r="P146"/>
      <c r="Q146"/>
    </row>
    <row r="147" spans="2:17">
      <c r="B147" s="3">
        <v>2</v>
      </c>
      <c r="C147" s="3">
        <v>1</v>
      </c>
      <c r="D147" s="3">
        <v>886</v>
      </c>
      <c r="E147" s="3">
        <v>16</v>
      </c>
      <c r="F147" s="3">
        <v>1.9</v>
      </c>
      <c r="N147"/>
      <c r="O147"/>
      <c r="P147"/>
      <c r="Q147"/>
    </row>
    <row r="148" spans="2:17">
      <c r="B148" s="3">
        <v>2</v>
      </c>
      <c r="C148" s="3">
        <v>1</v>
      </c>
      <c r="D148" s="3">
        <v>1307</v>
      </c>
      <c r="E148" s="3">
        <v>10</v>
      </c>
      <c r="F148" s="3">
        <v>0.53</v>
      </c>
      <c r="N148"/>
      <c r="O148"/>
      <c r="P148"/>
      <c r="Q148"/>
    </row>
    <row r="149" spans="2:17">
      <c r="B149" s="3">
        <v>2</v>
      </c>
      <c r="C149" s="3">
        <v>1</v>
      </c>
      <c r="D149" s="3">
        <v>554</v>
      </c>
      <c r="E149" s="3">
        <v>13</v>
      </c>
      <c r="F149" s="3">
        <v>0.82</v>
      </c>
      <c r="N149"/>
      <c r="O149"/>
      <c r="P149"/>
      <c r="Q149"/>
    </row>
    <row r="150" spans="2:17">
      <c r="B150" s="3">
        <v>2</v>
      </c>
      <c r="C150" s="3">
        <v>1</v>
      </c>
      <c r="D150" s="3">
        <v>1698</v>
      </c>
      <c r="E150" s="3">
        <v>13</v>
      </c>
      <c r="F150" s="3">
        <v>1.7</v>
      </c>
      <c r="N150"/>
      <c r="O150"/>
      <c r="P150"/>
      <c r="Q150"/>
    </row>
    <row r="151" spans="2:17">
      <c r="B151" s="3">
        <v>2</v>
      </c>
      <c r="C151" s="3">
        <v>1</v>
      </c>
      <c r="D151" s="3">
        <v>1319</v>
      </c>
      <c r="E151" s="3">
        <v>18</v>
      </c>
      <c r="F151" s="3">
        <v>0.92</v>
      </c>
      <c r="N151"/>
      <c r="O151"/>
      <c r="P151"/>
      <c r="Q151"/>
    </row>
    <row r="152" spans="2:17">
      <c r="B152" s="3">
        <v>2</v>
      </c>
      <c r="C152" s="3">
        <v>1</v>
      </c>
      <c r="D152" s="3">
        <v>535</v>
      </c>
      <c r="E152" s="3">
        <v>14</v>
      </c>
      <c r="F152" s="3">
        <v>0.23</v>
      </c>
      <c r="N152"/>
      <c r="O152"/>
      <c r="P152"/>
      <c r="Q152"/>
    </row>
    <row r="153" spans="2:17">
      <c r="B153" s="3">
        <v>2</v>
      </c>
      <c r="C153" s="3">
        <v>1</v>
      </c>
      <c r="D153" s="3">
        <v>1430</v>
      </c>
      <c r="E153" s="3">
        <v>1</v>
      </c>
      <c r="F153" s="3">
        <v>2.33</v>
      </c>
      <c r="N153"/>
      <c r="O153"/>
      <c r="P153"/>
      <c r="Q153"/>
    </row>
    <row r="154" spans="2:17">
      <c r="B154" s="3">
        <v>2</v>
      </c>
      <c r="C154" s="3">
        <v>1</v>
      </c>
      <c r="D154" s="3">
        <v>656</v>
      </c>
      <c r="E154" s="3">
        <v>14</v>
      </c>
      <c r="F154" s="3">
        <v>1.7</v>
      </c>
      <c r="N154"/>
      <c r="O154"/>
      <c r="P154"/>
      <c r="Q154"/>
    </row>
    <row r="155" spans="2:17">
      <c r="B155" s="3">
        <v>2</v>
      </c>
      <c r="C155" s="3">
        <v>1</v>
      </c>
      <c r="D155" s="3">
        <v>1121</v>
      </c>
      <c r="E155" s="3">
        <v>8</v>
      </c>
      <c r="F155" s="3">
        <v>1.04</v>
      </c>
      <c r="N155"/>
      <c r="O155"/>
      <c r="P155"/>
      <c r="Q155"/>
    </row>
    <row r="156" spans="2:17">
      <c r="B156" s="3">
        <v>2</v>
      </c>
      <c r="C156" s="3">
        <v>1</v>
      </c>
      <c r="D156" s="3">
        <v>721</v>
      </c>
      <c r="E156" s="3">
        <v>25</v>
      </c>
      <c r="F156" s="3">
        <v>1.02</v>
      </c>
      <c r="N156"/>
      <c r="O156"/>
      <c r="P156"/>
      <c r="Q156"/>
    </row>
    <row r="157" spans="2:17">
      <c r="B157" s="3">
        <v>2</v>
      </c>
      <c r="C157" s="3">
        <v>1</v>
      </c>
      <c r="D157" s="3">
        <v>1086</v>
      </c>
      <c r="E157" s="3">
        <v>18</v>
      </c>
      <c r="F157" s="3">
        <v>0.5</v>
      </c>
      <c r="N157"/>
      <c r="O157"/>
      <c r="P157"/>
      <c r="Q157"/>
    </row>
    <row r="158" spans="2:17">
      <c r="B158" s="3">
        <v>2</v>
      </c>
      <c r="C158" s="3">
        <v>1</v>
      </c>
      <c r="D158" s="3">
        <v>2154</v>
      </c>
      <c r="E158" s="3">
        <v>3</v>
      </c>
      <c r="F158" s="3">
        <v>0.91</v>
      </c>
      <c r="N158"/>
      <c r="O158"/>
      <c r="P158"/>
      <c r="Q158"/>
    </row>
    <row r="159" spans="2:17">
      <c r="B159" s="3">
        <v>2</v>
      </c>
      <c r="C159" s="3">
        <v>1</v>
      </c>
      <c r="D159" s="3">
        <v>933</v>
      </c>
      <c r="E159" s="3">
        <v>10</v>
      </c>
      <c r="F159" s="3">
        <v>1.83</v>
      </c>
      <c r="N159"/>
      <c r="O159"/>
      <c r="P159"/>
      <c r="Q159"/>
    </row>
    <row r="160" spans="2:17">
      <c r="B160" s="3">
        <v>2</v>
      </c>
      <c r="C160" s="3">
        <v>1</v>
      </c>
      <c r="D160" s="3">
        <v>1182</v>
      </c>
      <c r="E160" s="3">
        <v>9</v>
      </c>
      <c r="F160" s="3">
        <v>1.99</v>
      </c>
      <c r="N160"/>
      <c r="O160"/>
      <c r="P160"/>
      <c r="Q160"/>
    </row>
    <row r="161" spans="2:17">
      <c r="B161" s="3">
        <v>2</v>
      </c>
      <c r="C161" s="3">
        <v>1</v>
      </c>
      <c r="D161" s="3">
        <v>1136</v>
      </c>
      <c r="E161" s="3">
        <v>12</v>
      </c>
      <c r="F161" s="3">
        <v>0.85</v>
      </c>
      <c r="N161"/>
      <c r="O161"/>
      <c r="P161"/>
      <c r="Q161"/>
    </row>
    <row r="162" spans="2:17">
      <c r="B162" s="3">
        <v>2</v>
      </c>
      <c r="C162" s="3">
        <v>1</v>
      </c>
      <c r="D162" s="3">
        <v>1209</v>
      </c>
      <c r="E162" s="3">
        <v>15</v>
      </c>
      <c r="F162" s="3">
        <v>2</v>
      </c>
      <c r="N162"/>
      <c r="O162"/>
      <c r="P162"/>
      <c r="Q162"/>
    </row>
    <row r="163" spans="2:17">
      <c r="B163" s="3">
        <v>2</v>
      </c>
      <c r="C163" s="3">
        <v>1</v>
      </c>
      <c r="D163" s="3">
        <v>1824</v>
      </c>
      <c r="E163" s="3">
        <v>8</v>
      </c>
      <c r="F163" s="3">
        <v>0.75</v>
      </c>
      <c r="N163"/>
      <c r="O163"/>
      <c r="P163"/>
      <c r="Q163"/>
    </row>
    <row r="164" spans="2:17">
      <c r="B164" s="3">
        <v>2</v>
      </c>
      <c r="C164" s="3">
        <v>1</v>
      </c>
      <c r="D164" s="3">
        <v>861</v>
      </c>
      <c r="E164" s="3">
        <v>24</v>
      </c>
      <c r="F164" s="3">
        <v>2.04</v>
      </c>
      <c r="N164"/>
      <c r="O164"/>
      <c r="P164"/>
      <c r="Q164"/>
    </row>
    <row r="165" spans="2:17">
      <c r="B165" s="3">
        <v>2</v>
      </c>
      <c r="C165" s="3">
        <v>1</v>
      </c>
      <c r="D165" s="3">
        <v>1325</v>
      </c>
      <c r="E165" s="3">
        <v>12</v>
      </c>
      <c r="F165" s="3">
        <v>0.89</v>
      </c>
      <c r="N165"/>
      <c r="O165"/>
      <c r="P165"/>
      <c r="Q165"/>
    </row>
    <row r="166" spans="2:17">
      <c r="B166" s="3">
        <v>2</v>
      </c>
      <c r="C166" s="3">
        <v>1</v>
      </c>
      <c r="D166" s="3">
        <v>1228</v>
      </c>
      <c r="E166" s="3">
        <v>17</v>
      </c>
      <c r="F166" s="3">
        <v>0.87</v>
      </c>
      <c r="N166"/>
      <c r="O166"/>
      <c r="P166"/>
      <c r="Q166"/>
    </row>
    <row r="167" spans="2:17">
      <c r="B167" s="3">
        <v>2</v>
      </c>
      <c r="C167" s="3">
        <v>1</v>
      </c>
      <c r="D167" s="3">
        <v>1265</v>
      </c>
      <c r="E167" s="3">
        <v>14</v>
      </c>
      <c r="F167" s="3">
        <v>0.98</v>
      </c>
      <c r="N167"/>
      <c r="O167"/>
      <c r="P167"/>
      <c r="Q167"/>
    </row>
    <row r="168" spans="2:17">
      <c r="B168" s="3">
        <v>2</v>
      </c>
      <c r="C168" s="3">
        <v>1</v>
      </c>
      <c r="D168" s="3">
        <v>665</v>
      </c>
      <c r="E168" s="3">
        <v>11</v>
      </c>
      <c r="F168" s="3">
        <v>1.69</v>
      </c>
      <c r="N168"/>
      <c r="O168"/>
      <c r="P168"/>
      <c r="Q168"/>
    </row>
    <row r="169" spans="2:17">
      <c r="B169" s="3">
        <v>2</v>
      </c>
      <c r="C169" s="3">
        <v>1</v>
      </c>
      <c r="D169" s="3">
        <v>895</v>
      </c>
      <c r="E169" s="3">
        <v>17</v>
      </c>
      <c r="F169" s="3">
        <v>0.95</v>
      </c>
      <c r="N169"/>
      <c r="O169"/>
      <c r="P169"/>
      <c r="Q169"/>
    </row>
    <row r="170" spans="2:17">
      <c r="B170" s="3">
        <v>2</v>
      </c>
      <c r="C170" s="3">
        <v>1</v>
      </c>
      <c r="D170" s="3">
        <v>1618</v>
      </c>
      <c r="E170" s="3">
        <v>20</v>
      </c>
      <c r="F170" s="3">
        <v>0.19</v>
      </c>
      <c r="N170"/>
      <c r="O170"/>
      <c r="P170"/>
      <c r="Q170"/>
    </row>
    <row r="171" spans="2:17">
      <c r="B171" s="3">
        <v>2</v>
      </c>
      <c r="C171" s="3">
        <v>1</v>
      </c>
      <c r="D171" s="3">
        <v>1288</v>
      </c>
      <c r="E171" s="3">
        <v>9</v>
      </c>
      <c r="F171" s="3">
        <v>0.69</v>
      </c>
      <c r="N171"/>
      <c r="O171"/>
      <c r="P171"/>
      <c r="Q171"/>
    </row>
    <row r="172" spans="2:17">
      <c r="B172" s="3">
        <v>2</v>
      </c>
      <c r="C172" s="3">
        <v>1</v>
      </c>
      <c r="D172" s="3">
        <v>1273</v>
      </c>
      <c r="E172" s="3">
        <v>10</v>
      </c>
      <c r="F172" s="3">
        <v>2</v>
      </c>
      <c r="N172"/>
      <c r="O172"/>
      <c r="P172"/>
      <c r="Q172"/>
    </row>
    <row r="173" spans="2:17">
      <c r="B173" s="3">
        <v>2</v>
      </c>
      <c r="C173" s="3">
        <v>1</v>
      </c>
      <c r="D173" s="3">
        <v>1074</v>
      </c>
      <c r="E173" s="3">
        <v>18</v>
      </c>
      <c r="F173" s="3">
        <v>1.54</v>
      </c>
      <c r="N173"/>
      <c r="O173"/>
      <c r="P173"/>
      <c r="Q173"/>
    </row>
    <row r="174" spans="2:17">
      <c r="B174" s="3">
        <v>2</v>
      </c>
      <c r="C174" s="3">
        <v>1</v>
      </c>
      <c r="D174" s="3">
        <v>1295</v>
      </c>
      <c r="E174" s="3">
        <v>12</v>
      </c>
      <c r="F174" s="3">
        <v>1.1200000000000001</v>
      </c>
      <c r="N174"/>
      <c r="O174"/>
      <c r="P174"/>
      <c r="Q174"/>
    </row>
    <row r="175" spans="2:17">
      <c r="B175" s="3">
        <v>2</v>
      </c>
      <c r="C175" s="3">
        <v>1</v>
      </c>
      <c r="D175" s="3">
        <v>947</v>
      </c>
      <c r="E175" s="3">
        <v>15</v>
      </c>
      <c r="F175" s="3">
        <v>1.9</v>
      </c>
      <c r="N175"/>
      <c r="O175"/>
      <c r="P175"/>
      <c r="Q175"/>
    </row>
    <row r="176" spans="2:17">
      <c r="B176" s="3">
        <v>2</v>
      </c>
      <c r="C176" s="3">
        <v>1</v>
      </c>
      <c r="D176" s="3">
        <v>1393</v>
      </c>
      <c r="E176" s="3">
        <v>6</v>
      </c>
      <c r="F176" s="3">
        <v>1.04</v>
      </c>
      <c r="N176"/>
      <c r="O176"/>
      <c r="P176"/>
      <c r="Q176"/>
    </row>
    <row r="177" spans="2:17">
      <c r="B177" s="3">
        <v>2</v>
      </c>
      <c r="C177" s="3">
        <v>1</v>
      </c>
      <c r="D177" s="3">
        <v>1092</v>
      </c>
      <c r="E177" s="3">
        <v>16</v>
      </c>
      <c r="F177" s="3">
        <v>0.72</v>
      </c>
      <c r="N177"/>
      <c r="O177"/>
      <c r="P177"/>
      <c r="Q177"/>
    </row>
    <row r="178" spans="2:17">
      <c r="B178" s="3">
        <v>2</v>
      </c>
      <c r="C178" s="3">
        <v>1</v>
      </c>
      <c r="D178" s="3">
        <v>732</v>
      </c>
      <c r="E178" s="3">
        <v>5</v>
      </c>
      <c r="F178" s="3">
        <v>2.0699999999999998</v>
      </c>
      <c r="N178"/>
      <c r="O178"/>
      <c r="P178"/>
      <c r="Q178"/>
    </row>
    <row r="179" spans="2:17">
      <c r="B179" s="3">
        <v>2</v>
      </c>
      <c r="C179" s="3">
        <v>1</v>
      </c>
      <c r="D179" s="3">
        <v>991</v>
      </c>
      <c r="E179" s="3">
        <v>22</v>
      </c>
      <c r="F179" s="3">
        <v>0.7</v>
      </c>
      <c r="N179"/>
      <c r="O179"/>
      <c r="P179"/>
      <c r="Q179"/>
    </row>
    <row r="180" spans="2:17">
      <c r="B180" s="3">
        <v>2</v>
      </c>
      <c r="C180" s="3">
        <v>1</v>
      </c>
      <c r="D180" s="3">
        <v>973</v>
      </c>
      <c r="E180" s="3">
        <v>18</v>
      </c>
      <c r="F180" s="3">
        <v>1.91</v>
      </c>
      <c r="N180"/>
      <c r="O180"/>
      <c r="P180"/>
      <c r="Q180"/>
    </row>
    <row r="181" spans="2:17">
      <c r="B181" s="3">
        <v>2</v>
      </c>
      <c r="C181" s="3">
        <v>1</v>
      </c>
      <c r="D181" s="3">
        <v>1113</v>
      </c>
      <c r="E181" s="3">
        <v>18</v>
      </c>
      <c r="F181" s="3">
        <v>1.55</v>
      </c>
      <c r="N181"/>
      <c r="O181"/>
      <c r="P181"/>
      <c r="Q181"/>
    </row>
    <row r="182" spans="2:17">
      <c r="B182" s="3">
        <v>2</v>
      </c>
      <c r="C182" s="3">
        <v>1</v>
      </c>
      <c r="D182" s="3">
        <v>2021</v>
      </c>
      <c r="E182" s="3">
        <v>9</v>
      </c>
      <c r="F182" s="3">
        <v>0.74</v>
      </c>
      <c r="N182"/>
      <c r="O182"/>
      <c r="P182"/>
      <c r="Q182"/>
    </row>
    <row r="183" spans="2:17">
      <c r="B183" s="3">
        <v>2</v>
      </c>
      <c r="C183" s="3">
        <v>1</v>
      </c>
      <c r="D183" s="3">
        <v>1156</v>
      </c>
      <c r="E183" s="3">
        <v>14</v>
      </c>
      <c r="F183" s="3">
        <v>1.69</v>
      </c>
      <c r="N183"/>
      <c r="O183"/>
      <c r="P183"/>
      <c r="Q183"/>
    </row>
    <row r="184" spans="2:17">
      <c r="B184" s="3">
        <v>2</v>
      </c>
      <c r="C184" s="3">
        <v>1</v>
      </c>
      <c r="D184" s="3">
        <v>1200</v>
      </c>
      <c r="E184" s="3">
        <v>18</v>
      </c>
      <c r="F184" s="3">
        <v>1.05</v>
      </c>
      <c r="N184"/>
      <c r="O184"/>
      <c r="P184"/>
      <c r="Q184"/>
    </row>
    <row r="185" spans="2:17">
      <c r="B185" s="3">
        <v>2</v>
      </c>
      <c r="C185" s="3">
        <v>1</v>
      </c>
      <c r="D185" s="3">
        <v>1048</v>
      </c>
      <c r="E185" s="3">
        <v>14</v>
      </c>
      <c r="F185" s="3">
        <v>2.06</v>
      </c>
      <c r="N185"/>
      <c r="O185"/>
      <c r="P185"/>
      <c r="Q185"/>
    </row>
    <row r="186" spans="2:17">
      <c r="B186" s="3">
        <v>2</v>
      </c>
      <c r="C186" s="3">
        <v>1</v>
      </c>
      <c r="D186" s="3">
        <v>772</v>
      </c>
      <c r="E186" s="3">
        <v>11</v>
      </c>
      <c r="F186" s="3">
        <v>1.03</v>
      </c>
      <c r="N186"/>
      <c r="O186"/>
      <c r="P186"/>
      <c r="Q186"/>
    </row>
    <row r="187" spans="2:17">
      <c r="B187" s="3">
        <v>2</v>
      </c>
      <c r="C187" s="3">
        <v>1</v>
      </c>
      <c r="D187" s="3">
        <v>1025</v>
      </c>
      <c r="E187" s="3">
        <v>1</v>
      </c>
      <c r="F187" s="3">
        <v>0.69</v>
      </c>
      <c r="N187"/>
      <c r="O187"/>
      <c r="P187"/>
      <c r="Q187"/>
    </row>
    <row r="188" spans="2:17">
      <c r="B188" s="3">
        <v>2</v>
      </c>
      <c r="C188" s="3">
        <v>1</v>
      </c>
      <c r="D188" s="3">
        <v>934</v>
      </c>
      <c r="E188" s="3">
        <v>15</v>
      </c>
      <c r="F188" s="3">
        <v>1.21</v>
      </c>
      <c r="N188"/>
      <c r="O188"/>
      <c r="P188"/>
      <c r="Q188"/>
    </row>
    <row r="189" spans="2:17">
      <c r="B189" s="3">
        <v>2</v>
      </c>
      <c r="C189" s="3">
        <v>1</v>
      </c>
      <c r="D189" s="3">
        <v>1232</v>
      </c>
      <c r="E189" s="3">
        <v>10</v>
      </c>
      <c r="F189" s="3">
        <v>0.7</v>
      </c>
      <c r="N189"/>
      <c r="O189"/>
      <c r="P189"/>
      <c r="Q189"/>
    </row>
    <row r="190" spans="2:17">
      <c r="B190" s="3">
        <v>2</v>
      </c>
      <c r="C190" s="3">
        <v>1</v>
      </c>
      <c r="D190" s="3">
        <v>1239</v>
      </c>
      <c r="E190" s="3">
        <v>8</v>
      </c>
      <c r="F190" s="3">
        <v>2.2000000000000002</v>
      </c>
      <c r="N190"/>
      <c r="O190"/>
      <c r="P190"/>
      <c r="Q190"/>
    </row>
    <row r="191" spans="2:17">
      <c r="B191" s="3">
        <v>2</v>
      </c>
      <c r="C191" s="3">
        <v>1</v>
      </c>
      <c r="D191" s="3">
        <v>1853</v>
      </c>
      <c r="E191" s="3">
        <v>16</v>
      </c>
      <c r="F191" s="3">
        <v>0.97</v>
      </c>
      <c r="N191"/>
      <c r="O191"/>
      <c r="P191"/>
      <c r="Q191"/>
    </row>
    <row r="192" spans="2:17">
      <c r="B192" s="3">
        <v>2</v>
      </c>
      <c r="C192" s="3">
        <v>1</v>
      </c>
      <c r="D192" s="3">
        <v>1485</v>
      </c>
      <c r="E192" s="3">
        <v>8</v>
      </c>
      <c r="F192" s="3">
        <v>1.25</v>
      </c>
      <c r="N192"/>
      <c r="O192"/>
      <c r="P192"/>
      <c r="Q192"/>
    </row>
    <row r="193" spans="2:17">
      <c r="B193" s="3">
        <v>2</v>
      </c>
      <c r="C193" s="3">
        <v>1</v>
      </c>
      <c r="D193" s="3">
        <v>1137</v>
      </c>
      <c r="E193" s="3">
        <v>4</v>
      </c>
      <c r="F193" s="3">
        <v>1.05</v>
      </c>
      <c r="N193"/>
      <c r="O193"/>
      <c r="P193"/>
      <c r="Q193"/>
    </row>
    <row r="194" spans="2:17">
      <c r="B194" s="3">
        <v>2</v>
      </c>
      <c r="C194" s="3">
        <v>1</v>
      </c>
      <c r="D194" s="3">
        <v>954</v>
      </c>
      <c r="E194" s="3">
        <v>14</v>
      </c>
      <c r="F194" s="3">
        <v>1.99</v>
      </c>
      <c r="N194"/>
      <c r="O194"/>
      <c r="P194"/>
      <c r="Q194"/>
    </row>
    <row r="195" spans="2:17">
      <c r="B195" s="3">
        <v>2</v>
      </c>
      <c r="C195" s="3">
        <v>1</v>
      </c>
      <c r="D195" s="3">
        <v>1435</v>
      </c>
      <c r="E195" s="3">
        <v>9</v>
      </c>
      <c r="F195" s="3">
        <v>1.52</v>
      </c>
      <c r="N195"/>
      <c r="O195"/>
      <c r="P195"/>
      <c r="Q195"/>
    </row>
    <row r="196" spans="2:17">
      <c r="B196" s="3">
        <v>2</v>
      </c>
      <c r="C196" s="3">
        <v>1</v>
      </c>
      <c r="D196" s="3">
        <v>1438</v>
      </c>
      <c r="E196" s="3">
        <v>24</v>
      </c>
      <c r="F196" s="3">
        <v>0.26</v>
      </c>
      <c r="N196"/>
      <c r="O196"/>
      <c r="P196"/>
      <c r="Q196"/>
    </row>
    <row r="197" spans="2:17">
      <c r="B197" s="3">
        <v>2</v>
      </c>
      <c r="C197" s="3">
        <v>1</v>
      </c>
      <c r="D197" s="3">
        <v>1317</v>
      </c>
      <c r="E197" s="3">
        <v>10</v>
      </c>
      <c r="F197" s="3">
        <v>2.36</v>
      </c>
      <c r="N197"/>
      <c r="O197"/>
      <c r="P197"/>
      <c r="Q197"/>
    </row>
    <row r="198" spans="2:17">
      <c r="B198" s="3">
        <v>2</v>
      </c>
      <c r="C198" s="3">
        <v>1</v>
      </c>
      <c r="D198" s="3">
        <v>924</v>
      </c>
      <c r="E198" s="3">
        <v>3</v>
      </c>
      <c r="F198" s="3">
        <v>1.86</v>
      </c>
      <c r="N198"/>
      <c r="O198"/>
      <c r="P198"/>
      <c r="Q198"/>
    </row>
    <row r="199" spans="2:17">
      <c r="B199" s="3">
        <v>2</v>
      </c>
      <c r="C199" s="3">
        <v>1</v>
      </c>
      <c r="D199" s="3">
        <v>596</v>
      </c>
      <c r="E199" s="3">
        <v>15</v>
      </c>
      <c r="F199" s="3">
        <v>1.33</v>
      </c>
      <c r="N199"/>
      <c r="O199"/>
      <c r="P199"/>
      <c r="Q199"/>
    </row>
    <row r="200" spans="2:17">
      <c r="B200" s="3">
        <v>2</v>
      </c>
      <c r="C200" s="3">
        <v>1</v>
      </c>
      <c r="D200" s="3">
        <v>567</v>
      </c>
      <c r="E200" s="3">
        <v>8</v>
      </c>
      <c r="F200" s="3">
        <v>1.73</v>
      </c>
      <c r="N200"/>
      <c r="O200"/>
      <c r="P200"/>
      <c r="Q200"/>
    </row>
    <row r="201" spans="2:17">
      <c r="B201" s="3">
        <v>2</v>
      </c>
      <c r="C201" s="3">
        <v>1</v>
      </c>
      <c r="D201" s="3">
        <v>1061</v>
      </c>
      <c r="E201" s="3">
        <v>10</v>
      </c>
      <c r="F201" s="3">
        <v>1.68</v>
      </c>
      <c r="N201"/>
      <c r="O201"/>
      <c r="P201"/>
      <c r="Q201"/>
    </row>
    <row r="202" spans="2:17">
      <c r="B202" s="3">
        <v>2</v>
      </c>
      <c r="C202" s="3">
        <v>1</v>
      </c>
      <c r="D202" s="3">
        <v>300</v>
      </c>
      <c r="E202" s="3">
        <v>8</v>
      </c>
      <c r="F202" s="3">
        <v>1.54</v>
      </c>
      <c r="N202"/>
      <c r="O202"/>
      <c r="P202"/>
      <c r="Q202"/>
    </row>
    <row r="203" spans="2:17">
      <c r="B203" s="3">
        <v>2</v>
      </c>
      <c r="C203" s="3">
        <v>1</v>
      </c>
      <c r="D203" s="3">
        <v>980</v>
      </c>
      <c r="E203" s="3">
        <v>12</v>
      </c>
      <c r="F203" s="3">
        <v>0.86</v>
      </c>
      <c r="N203"/>
      <c r="O203"/>
      <c r="P203"/>
      <c r="Q203"/>
    </row>
    <row r="204" spans="2:17">
      <c r="B204" s="3">
        <v>2</v>
      </c>
      <c r="C204" s="3">
        <v>1</v>
      </c>
      <c r="D204" s="3">
        <v>1291</v>
      </c>
      <c r="E204" s="3">
        <v>15</v>
      </c>
      <c r="F204" s="3">
        <v>1.87</v>
      </c>
      <c r="N204"/>
      <c r="O204"/>
      <c r="P204"/>
      <c r="Q204"/>
    </row>
    <row r="205" spans="2:17">
      <c r="B205" s="3">
        <v>2</v>
      </c>
      <c r="C205" s="3">
        <v>1</v>
      </c>
      <c r="D205" s="3">
        <v>853</v>
      </c>
      <c r="E205" s="3">
        <v>3</v>
      </c>
      <c r="F205" s="3">
        <v>1.77</v>
      </c>
      <c r="N205"/>
      <c r="O205"/>
      <c r="P205"/>
      <c r="Q205"/>
    </row>
    <row r="206" spans="2:17">
      <c r="B206" s="3">
        <v>2</v>
      </c>
      <c r="C206" s="3">
        <v>1</v>
      </c>
      <c r="D206" s="3">
        <v>1240</v>
      </c>
      <c r="E206" s="3">
        <v>21</v>
      </c>
      <c r="F206" s="3">
        <v>0.81</v>
      </c>
      <c r="N206"/>
      <c r="O206"/>
      <c r="P206"/>
      <c r="Q206"/>
    </row>
    <row r="207" spans="2:17">
      <c r="B207" s="3">
        <v>2</v>
      </c>
      <c r="C207" s="3">
        <v>1</v>
      </c>
      <c r="D207" s="3">
        <v>909</v>
      </c>
      <c r="E207" s="3">
        <v>27</v>
      </c>
      <c r="F207" s="3">
        <v>0.55000000000000004</v>
      </c>
      <c r="N207"/>
      <c r="O207"/>
      <c r="P207"/>
      <c r="Q207"/>
    </row>
    <row r="208" spans="2:17">
      <c r="B208" s="3">
        <v>2</v>
      </c>
      <c r="C208" s="3">
        <v>1</v>
      </c>
      <c r="D208" s="3">
        <v>1183</v>
      </c>
      <c r="E208" s="3">
        <v>20</v>
      </c>
      <c r="F208" s="3">
        <v>1.38</v>
      </c>
      <c r="N208"/>
      <c r="O208"/>
      <c r="P208"/>
      <c r="Q208"/>
    </row>
    <row r="209" spans="2:17">
      <c r="B209" s="3">
        <v>2</v>
      </c>
      <c r="C209" s="3">
        <v>1</v>
      </c>
      <c r="D209" s="3">
        <v>1316</v>
      </c>
      <c r="E209" s="3">
        <v>12</v>
      </c>
      <c r="F209" s="3">
        <v>0.66</v>
      </c>
      <c r="N209"/>
      <c r="O209"/>
      <c r="P209"/>
      <c r="Q209"/>
    </row>
    <row r="210" spans="2:17">
      <c r="B210" s="3">
        <v>2</v>
      </c>
      <c r="C210" s="3">
        <v>1</v>
      </c>
      <c r="D210" s="3">
        <v>808</v>
      </c>
      <c r="E210" s="3">
        <v>5</v>
      </c>
      <c r="F210" s="3">
        <v>1.47</v>
      </c>
      <c r="N210"/>
      <c r="O210"/>
      <c r="P210"/>
      <c r="Q210"/>
    </row>
    <row r="211" spans="2:17">
      <c r="B211" s="3">
        <v>2</v>
      </c>
      <c r="C211" s="3">
        <v>1</v>
      </c>
      <c r="D211" s="3">
        <v>1530</v>
      </c>
      <c r="E211" s="3">
        <v>18</v>
      </c>
      <c r="F211" s="3">
        <v>0</v>
      </c>
      <c r="N211"/>
      <c r="O211"/>
      <c r="P211"/>
      <c r="Q211"/>
    </row>
    <row r="212" spans="2:17">
      <c r="B212" s="3">
        <v>2</v>
      </c>
      <c r="C212" s="3">
        <v>1</v>
      </c>
      <c r="D212" s="3">
        <v>1052</v>
      </c>
      <c r="E212" s="3">
        <v>15</v>
      </c>
      <c r="F212" s="3">
        <v>1.76</v>
      </c>
      <c r="N212"/>
      <c r="O212"/>
      <c r="P212"/>
      <c r="Q212"/>
    </row>
    <row r="213" spans="2:17">
      <c r="B213" s="3">
        <v>2</v>
      </c>
      <c r="C213" s="3">
        <v>1</v>
      </c>
      <c r="D213" s="3">
        <v>979</v>
      </c>
      <c r="E213" s="3">
        <v>18</v>
      </c>
      <c r="F213" s="3">
        <v>2.75</v>
      </c>
      <c r="N213"/>
      <c r="O213"/>
      <c r="P213"/>
      <c r="Q213"/>
    </row>
    <row r="214" spans="2:17">
      <c r="B214" s="3">
        <v>2</v>
      </c>
      <c r="C214" s="3">
        <v>1</v>
      </c>
      <c r="D214" s="3">
        <v>984</v>
      </c>
      <c r="E214" s="3">
        <v>20</v>
      </c>
      <c r="F214" s="3">
        <v>2.61</v>
      </c>
      <c r="N214"/>
      <c r="O214"/>
      <c r="P214"/>
      <c r="Q214"/>
    </row>
    <row r="215" spans="2:17">
      <c r="B215" s="3">
        <v>2</v>
      </c>
      <c r="C215" s="3">
        <v>1</v>
      </c>
      <c r="D215" s="3">
        <v>1194</v>
      </c>
      <c r="E215" s="3">
        <v>8</v>
      </c>
      <c r="F215" s="3">
        <v>1.66</v>
      </c>
      <c r="N215"/>
      <c r="O215"/>
      <c r="P215"/>
      <c r="Q215"/>
    </row>
    <row r="216" spans="2:17">
      <c r="B216" s="3">
        <v>2</v>
      </c>
      <c r="C216" s="3">
        <v>1</v>
      </c>
      <c r="D216" s="3">
        <v>726</v>
      </c>
      <c r="E216" s="3">
        <v>16</v>
      </c>
      <c r="F216" s="3">
        <v>0.9</v>
      </c>
      <c r="N216"/>
      <c r="O216"/>
      <c r="P216"/>
      <c r="Q216"/>
    </row>
    <row r="217" spans="2:17">
      <c r="B217" s="3">
        <v>2</v>
      </c>
      <c r="C217" s="3">
        <v>1</v>
      </c>
      <c r="D217" s="3">
        <v>1047</v>
      </c>
      <c r="E217" s="3">
        <v>12</v>
      </c>
      <c r="F217" s="3">
        <v>0.37</v>
      </c>
      <c r="N217"/>
      <c r="O217"/>
      <c r="P217"/>
      <c r="Q217"/>
    </row>
    <row r="218" spans="2:17">
      <c r="B218" s="3">
        <v>2</v>
      </c>
      <c r="C218" s="3">
        <v>1</v>
      </c>
      <c r="D218" s="3">
        <v>559</v>
      </c>
      <c r="E218" s="3">
        <v>12</v>
      </c>
      <c r="F218" s="3">
        <v>1.03</v>
      </c>
      <c r="N218"/>
      <c r="O218"/>
      <c r="P218"/>
      <c r="Q218"/>
    </row>
    <row r="219" spans="2:17">
      <c r="B219" s="3">
        <v>2</v>
      </c>
      <c r="C219" s="3">
        <v>1</v>
      </c>
      <c r="D219" s="3">
        <v>754</v>
      </c>
      <c r="E219" s="3">
        <v>6</v>
      </c>
      <c r="F219" s="3">
        <v>1.67</v>
      </c>
      <c r="N219"/>
      <c r="O219"/>
      <c r="P219"/>
      <c r="Q219"/>
    </row>
    <row r="220" spans="2:17">
      <c r="B220" s="3">
        <v>2</v>
      </c>
      <c r="C220" s="3">
        <v>1</v>
      </c>
      <c r="D220" s="3">
        <v>1695</v>
      </c>
      <c r="E220" s="3">
        <v>13</v>
      </c>
      <c r="F220" s="3">
        <v>1.8</v>
      </c>
      <c r="N220"/>
      <c r="O220"/>
      <c r="P220"/>
      <c r="Q220"/>
    </row>
    <row r="221" spans="2:17">
      <c r="B221" s="3">
        <v>2</v>
      </c>
      <c r="C221" s="3">
        <v>1</v>
      </c>
      <c r="D221" s="3">
        <v>1072</v>
      </c>
      <c r="E221" s="3">
        <v>11</v>
      </c>
      <c r="F221" s="3">
        <v>0.88</v>
      </c>
      <c r="N221"/>
      <c r="O221"/>
      <c r="P221"/>
      <c r="Q221"/>
    </row>
    <row r="222" spans="2:17">
      <c r="B222" s="3">
        <v>2</v>
      </c>
      <c r="C222" s="3">
        <v>1</v>
      </c>
      <c r="D222" s="3">
        <v>1097</v>
      </c>
      <c r="E222" s="3">
        <v>4</v>
      </c>
      <c r="F222" s="3">
        <v>2.11</v>
      </c>
      <c r="N222"/>
      <c r="O222"/>
      <c r="P222"/>
      <c r="Q222"/>
    </row>
    <row r="223" spans="2:17">
      <c r="B223" s="3">
        <v>2</v>
      </c>
      <c r="C223" s="3">
        <v>1</v>
      </c>
      <c r="D223" s="3">
        <v>602</v>
      </c>
      <c r="E223" s="3">
        <v>7</v>
      </c>
      <c r="F223" s="3">
        <v>1.9</v>
      </c>
      <c r="N223"/>
      <c r="O223"/>
      <c r="P223"/>
      <c r="Q223"/>
    </row>
    <row r="224" spans="2:17">
      <c r="B224" s="3">
        <v>2</v>
      </c>
      <c r="C224" s="3">
        <v>1</v>
      </c>
      <c r="D224" s="3">
        <v>1026</v>
      </c>
      <c r="E224" s="3">
        <v>11</v>
      </c>
      <c r="F224" s="3">
        <v>1.55</v>
      </c>
      <c r="N224"/>
      <c r="O224"/>
      <c r="P224"/>
      <c r="Q224"/>
    </row>
    <row r="225" spans="2:17">
      <c r="B225" s="3">
        <v>2</v>
      </c>
      <c r="C225" s="3">
        <v>1</v>
      </c>
      <c r="D225" s="3">
        <v>1549</v>
      </c>
      <c r="E225" s="3">
        <v>5</v>
      </c>
      <c r="F225" s="3">
        <v>0.88</v>
      </c>
      <c r="N225"/>
      <c r="O225"/>
      <c r="P225"/>
      <c r="Q225"/>
    </row>
    <row r="226" spans="2:17">
      <c r="B226" s="3">
        <v>2</v>
      </c>
      <c r="C226" s="3">
        <v>1</v>
      </c>
      <c r="D226" s="3">
        <v>1446</v>
      </c>
      <c r="E226" s="3">
        <v>22</v>
      </c>
      <c r="F226" s="3">
        <v>1.78</v>
      </c>
      <c r="N226"/>
      <c r="O226"/>
      <c r="P226"/>
      <c r="Q226"/>
    </row>
    <row r="227" spans="2:17">
      <c r="B227" s="3">
        <v>2</v>
      </c>
      <c r="C227" s="3">
        <v>1</v>
      </c>
      <c r="D227" s="3">
        <v>1265</v>
      </c>
      <c r="E227" s="3">
        <v>19</v>
      </c>
      <c r="F227" s="3">
        <v>1.25</v>
      </c>
      <c r="N227"/>
      <c r="O227"/>
      <c r="P227"/>
      <c r="Q227"/>
    </row>
    <row r="228" spans="2:17">
      <c r="B228" s="3">
        <v>2</v>
      </c>
      <c r="C228" s="3">
        <v>1</v>
      </c>
      <c r="D228" s="3">
        <v>1040</v>
      </c>
      <c r="E228" s="3">
        <v>19</v>
      </c>
      <c r="F228" s="3">
        <v>1.2</v>
      </c>
      <c r="N228"/>
      <c r="O228"/>
      <c r="P228"/>
      <c r="Q228"/>
    </row>
    <row r="229" spans="2:17">
      <c r="B229" s="3">
        <v>2</v>
      </c>
      <c r="C229" s="3">
        <v>1</v>
      </c>
      <c r="D229" s="3">
        <v>709</v>
      </c>
      <c r="E229" s="3">
        <v>11</v>
      </c>
      <c r="F229" s="3">
        <v>2.37</v>
      </c>
      <c r="N229"/>
      <c r="O229"/>
      <c r="P229"/>
      <c r="Q229"/>
    </row>
    <row r="230" spans="2:17">
      <c r="B230" s="3">
        <v>2</v>
      </c>
      <c r="C230" s="3">
        <v>1</v>
      </c>
      <c r="D230" s="3">
        <v>1674</v>
      </c>
      <c r="E230" s="3">
        <v>6</v>
      </c>
      <c r="F230" s="3">
        <v>1.79</v>
      </c>
      <c r="N230"/>
      <c r="O230"/>
      <c r="P230"/>
      <c r="Q230"/>
    </row>
    <row r="231" spans="2:17">
      <c r="B231" s="3">
        <v>2</v>
      </c>
      <c r="C231" s="3">
        <v>1</v>
      </c>
      <c r="D231" s="3">
        <v>1108</v>
      </c>
      <c r="E231" s="3">
        <v>14</v>
      </c>
      <c r="F231" s="3">
        <v>2.11</v>
      </c>
      <c r="N231"/>
      <c r="O231"/>
      <c r="P231"/>
      <c r="Q231"/>
    </row>
    <row r="232" spans="2:17">
      <c r="B232" s="3">
        <v>2</v>
      </c>
      <c r="C232" s="3">
        <v>1</v>
      </c>
      <c r="D232" s="3">
        <v>1558</v>
      </c>
      <c r="E232" s="3">
        <v>21</v>
      </c>
      <c r="F232" s="3">
        <v>0.76</v>
      </c>
      <c r="N232"/>
      <c r="O232"/>
      <c r="P232"/>
      <c r="Q232"/>
    </row>
    <row r="233" spans="2:17">
      <c r="B233" s="3">
        <v>2</v>
      </c>
      <c r="C233" s="3">
        <v>1</v>
      </c>
      <c r="D233" s="3">
        <v>1473</v>
      </c>
      <c r="E233" s="3">
        <v>15</v>
      </c>
      <c r="F233" s="3">
        <v>1.51</v>
      </c>
      <c r="N233"/>
      <c r="O233"/>
      <c r="P233"/>
      <c r="Q233"/>
    </row>
    <row r="234" spans="2:17">
      <c r="B234" s="3">
        <v>2</v>
      </c>
      <c r="C234" s="3">
        <v>1</v>
      </c>
      <c r="D234" s="3">
        <v>894</v>
      </c>
      <c r="E234" s="3">
        <v>11</v>
      </c>
      <c r="F234" s="3">
        <v>0.61</v>
      </c>
      <c r="N234"/>
      <c r="O234"/>
      <c r="P234"/>
      <c r="Q234"/>
    </row>
    <row r="235" spans="2:17">
      <c r="B235" s="3">
        <v>2</v>
      </c>
      <c r="C235" s="3">
        <v>1</v>
      </c>
      <c r="D235" s="3">
        <v>817</v>
      </c>
      <c r="E235" s="3">
        <v>7</v>
      </c>
      <c r="F235" s="3">
        <v>0.71</v>
      </c>
      <c r="N235"/>
      <c r="O235"/>
      <c r="P235"/>
      <c r="Q235"/>
    </row>
    <row r="236" spans="2:17">
      <c r="B236" s="3">
        <v>2</v>
      </c>
      <c r="C236" s="3">
        <v>1</v>
      </c>
      <c r="D236" s="3">
        <v>565</v>
      </c>
      <c r="E236" s="3">
        <v>23</v>
      </c>
      <c r="F236" s="3">
        <v>2.15</v>
      </c>
      <c r="N236"/>
      <c r="O236"/>
      <c r="P236"/>
      <c r="Q236"/>
    </row>
    <row r="237" spans="2:17">
      <c r="B237" s="3">
        <v>2</v>
      </c>
      <c r="C237" s="3">
        <v>1</v>
      </c>
      <c r="D237" s="3">
        <v>2094</v>
      </c>
      <c r="E237" s="3">
        <v>4</v>
      </c>
      <c r="F237" s="3">
        <v>1.46</v>
      </c>
      <c r="N237"/>
      <c r="O237"/>
      <c r="P237"/>
      <c r="Q237"/>
    </row>
    <row r="238" spans="2:17">
      <c r="B238" s="3">
        <v>2</v>
      </c>
      <c r="C238" s="3">
        <v>1</v>
      </c>
      <c r="D238" s="3">
        <v>1102</v>
      </c>
      <c r="E238" s="3">
        <v>12</v>
      </c>
      <c r="F238" s="3">
        <v>1.82</v>
      </c>
      <c r="N238"/>
      <c r="O238"/>
      <c r="P238"/>
      <c r="Q238"/>
    </row>
    <row r="239" spans="2:17">
      <c r="B239" s="3">
        <v>2</v>
      </c>
      <c r="C239" s="3">
        <v>1</v>
      </c>
      <c r="D239" s="3">
        <v>872</v>
      </c>
      <c r="E239" s="3">
        <v>13</v>
      </c>
      <c r="F239" s="3">
        <v>2.37</v>
      </c>
      <c r="N239"/>
      <c r="O239"/>
      <c r="P239"/>
      <c r="Q239"/>
    </row>
    <row r="240" spans="2:17">
      <c r="B240" s="3">
        <v>2</v>
      </c>
      <c r="C240" s="3">
        <v>1</v>
      </c>
      <c r="D240" s="3">
        <v>1624</v>
      </c>
      <c r="E240" s="3">
        <v>19</v>
      </c>
      <c r="F240" s="3">
        <v>0.91</v>
      </c>
      <c r="N240"/>
      <c r="O240"/>
      <c r="P240"/>
      <c r="Q240"/>
    </row>
    <row r="241" spans="2:17">
      <c r="B241" s="3">
        <v>2</v>
      </c>
      <c r="C241" s="3">
        <v>1</v>
      </c>
      <c r="D241" s="3">
        <v>1109</v>
      </c>
      <c r="E241" s="3">
        <v>14</v>
      </c>
      <c r="F241" s="3">
        <v>1.85</v>
      </c>
      <c r="N241"/>
      <c r="O241"/>
      <c r="P241"/>
      <c r="Q241"/>
    </row>
    <row r="242" spans="2:17">
      <c r="B242" s="3">
        <v>2</v>
      </c>
      <c r="C242" s="3">
        <v>1</v>
      </c>
      <c r="D242" s="3">
        <v>1165</v>
      </c>
      <c r="E242" s="3">
        <v>17</v>
      </c>
      <c r="F242" s="3">
        <v>1.44</v>
      </c>
      <c r="N242"/>
      <c r="O242"/>
      <c r="P242"/>
      <c r="Q242"/>
    </row>
    <row r="243" spans="2:17">
      <c r="B243" s="3">
        <v>2</v>
      </c>
      <c r="C243" s="3">
        <v>1</v>
      </c>
      <c r="D243" s="3">
        <v>1295</v>
      </c>
      <c r="E243" s="3">
        <v>12</v>
      </c>
      <c r="F243" s="3">
        <v>2.65</v>
      </c>
      <c r="N243"/>
      <c r="O243"/>
      <c r="P243"/>
      <c r="Q243"/>
    </row>
    <row r="244" spans="2:17">
      <c r="B244" s="3">
        <v>2</v>
      </c>
      <c r="C244" s="3">
        <v>1</v>
      </c>
      <c r="D244" s="3">
        <v>1360</v>
      </c>
      <c r="E244" s="3">
        <v>17</v>
      </c>
      <c r="F244" s="3">
        <v>0.11</v>
      </c>
      <c r="N244"/>
      <c r="O244"/>
      <c r="P244"/>
      <c r="Q244"/>
    </row>
    <row r="245" spans="2:17">
      <c r="B245" s="3">
        <v>2</v>
      </c>
      <c r="C245" s="3">
        <v>1</v>
      </c>
      <c r="D245" s="3">
        <v>1115</v>
      </c>
      <c r="E245" s="3">
        <v>12</v>
      </c>
      <c r="F245" s="3">
        <v>0.25</v>
      </c>
      <c r="N245"/>
      <c r="O245"/>
      <c r="P245"/>
      <c r="Q245"/>
    </row>
    <row r="246" spans="2:17">
      <c r="B246" s="3">
        <v>2</v>
      </c>
      <c r="C246" s="3">
        <v>1</v>
      </c>
      <c r="D246" s="3">
        <v>1209</v>
      </c>
      <c r="E246" s="3">
        <v>14</v>
      </c>
      <c r="F246" s="3">
        <v>2.2400000000000002</v>
      </c>
      <c r="N246"/>
      <c r="O246"/>
      <c r="P246"/>
      <c r="Q246"/>
    </row>
    <row r="247" spans="2:17">
      <c r="B247" s="3">
        <v>2</v>
      </c>
      <c r="C247" s="3">
        <v>1</v>
      </c>
      <c r="D247" s="3">
        <v>764</v>
      </c>
      <c r="E247" s="3">
        <v>12</v>
      </c>
      <c r="F247" s="3">
        <v>0.19</v>
      </c>
      <c r="N247"/>
      <c r="O247"/>
      <c r="P247"/>
      <c r="Q247"/>
    </row>
    <row r="248" spans="2:17">
      <c r="B248" s="3">
        <v>2</v>
      </c>
      <c r="C248" s="3">
        <v>1</v>
      </c>
      <c r="D248" s="3">
        <v>1245</v>
      </c>
      <c r="E248" s="3">
        <v>9</v>
      </c>
      <c r="F248" s="3">
        <v>2.4500000000000002</v>
      </c>
      <c r="N248"/>
      <c r="O248"/>
      <c r="P248"/>
      <c r="Q248"/>
    </row>
    <row r="249" spans="2:17">
      <c r="B249" s="3">
        <v>2</v>
      </c>
      <c r="C249" s="3">
        <v>1</v>
      </c>
      <c r="D249" s="3">
        <v>927</v>
      </c>
      <c r="E249" s="3">
        <v>14</v>
      </c>
      <c r="F249" s="3">
        <v>1.29</v>
      </c>
      <c r="N249"/>
      <c r="O249"/>
      <c r="P249"/>
      <c r="Q249"/>
    </row>
    <row r="250" spans="2:17">
      <c r="B250" s="3">
        <v>2</v>
      </c>
      <c r="C250" s="3">
        <v>1</v>
      </c>
      <c r="D250" s="3">
        <v>897</v>
      </c>
      <c r="E250" s="3">
        <v>7</v>
      </c>
      <c r="F250" s="3">
        <v>2.06</v>
      </c>
      <c r="N250"/>
      <c r="O250"/>
      <c r="P250"/>
      <c r="Q250"/>
    </row>
    <row r="251" spans="2:17">
      <c r="B251" s="3">
        <v>2</v>
      </c>
      <c r="C251" s="3">
        <v>1</v>
      </c>
      <c r="D251" s="3">
        <v>894</v>
      </c>
      <c r="E251" s="3">
        <v>7</v>
      </c>
      <c r="F251" s="3">
        <v>1.98</v>
      </c>
      <c r="N251"/>
      <c r="O251"/>
      <c r="P251"/>
      <c r="Q251"/>
    </row>
    <row r="252" spans="2:17">
      <c r="B252" s="3">
        <v>2</v>
      </c>
      <c r="C252" s="3">
        <v>1</v>
      </c>
      <c r="D252" s="3">
        <v>1302</v>
      </c>
      <c r="E252" s="3">
        <v>5</v>
      </c>
      <c r="F252" s="3">
        <v>1.93</v>
      </c>
      <c r="N252"/>
      <c r="O252"/>
      <c r="P252"/>
      <c r="Q252"/>
    </row>
    <row r="253" spans="2:17">
      <c r="B253" s="3">
        <v>2</v>
      </c>
      <c r="C253" s="3">
        <v>1</v>
      </c>
      <c r="D253" s="3">
        <v>1251</v>
      </c>
      <c r="E253" s="3">
        <v>18</v>
      </c>
      <c r="F253" s="3">
        <v>1.02</v>
      </c>
      <c r="N253"/>
      <c r="O253"/>
      <c r="P253"/>
      <c r="Q253"/>
    </row>
    <row r="254" spans="2:17">
      <c r="B254" s="3">
        <v>2</v>
      </c>
      <c r="C254" s="3">
        <v>1</v>
      </c>
      <c r="D254" s="3">
        <v>1110</v>
      </c>
      <c r="E254" s="3">
        <v>13</v>
      </c>
      <c r="F254" s="3">
        <v>0.78</v>
      </c>
      <c r="N254"/>
      <c r="O254"/>
      <c r="P254"/>
      <c r="Q254"/>
    </row>
    <row r="255" spans="2:17">
      <c r="B255" s="3">
        <v>2</v>
      </c>
      <c r="C255" s="3">
        <v>1</v>
      </c>
      <c r="D255" s="3">
        <v>1768</v>
      </c>
      <c r="E255" s="3">
        <v>24</v>
      </c>
      <c r="F255" s="3">
        <v>1.67</v>
      </c>
      <c r="N255"/>
      <c r="O255"/>
      <c r="P255"/>
      <c r="Q255"/>
    </row>
    <row r="256" spans="2:17">
      <c r="B256" s="3">
        <v>2</v>
      </c>
      <c r="C256" s="3">
        <v>1</v>
      </c>
      <c r="D256" s="3">
        <v>1101</v>
      </c>
      <c r="E256" s="3">
        <v>11</v>
      </c>
      <c r="F256" s="3">
        <v>0.91</v>
      </c>
      <c r="N256"/>
      <c r="O256"/>
      <c r="P256"/>
      <c r="Q256"/>
    </row>
    <row r="257" spans="2:17">
      <c r="B257" s="3">
        <v>2</v>
      </c>
      <c r="C257" s="3">
        <v>1</v>
      </c>
      <c r="D257" s="3">
        <v>1178</v>
      </c>
      <c r="E257" s="3">
        <v>16</v>
      </c>
      <c r="F257" s="3">
        <v>1.3</v>
      </c>
      <c r="N257"/>
      <c r="O257"/>
      <c r="P257"/>
      <c r="Q257"/>
    </row>
    <row r="258" spans="2:17">
      <c r="B258" s="3">
        <v>2</v>
      </c>
      <c r="C258" s="3">
        <v>1</v>
      </c>
      <c r="D258" s="3">
        <v>982</v>
      </c>
      <c r="E258" s="3">
        <v>6</v>
      </c>
      <c r="F258" s="3">
        <v>0.86</v>
      </c>
      <c r="N258"/>
      <c r="O258"/>
      <c r="P258"/>
      <c r="Q258"/>
    </row>
    <row r="259" spans="2:17">
      <c r="B259" s="3">
        <v>2</v>
      </c>
      <c r="C259" s="3">
        <v>1</v>
      </c>
      <c r="D259" s="3">
        <v>1464</v>
      </c>
      <c r="E259" s="3">
        <v>16</v>
      </c>
      <c r="F259" s="3">
        <v>1.92</v>
      </c>
      <c r="N259"/>
      <c r="O259"/>
      <c r="P259"/>
      <c r="Q259"/>
    </row>
    <row r="260" spans="2:17">
      <c r="B260" s="3">
        <v>2</v>
      </c>
      <c r="C260" s="3">
        <v>1</v>
      </c>
      <c r="D260" s="3">
        <v>1187</v>
      </c>
      <c r="E260" s="3">
        <v>12</v>
      </c>
      <c r="F260" s="3">
        <v>0.18</v>
      </c>
      <c r="N260"/>
      <c r="O260"/>
      <c r="P260"/>
      <c r="Q260"/>
    </row>
    <row r="261" spans="2:17">
      <c r="B261" s="3">
        <v>2</v>
      </c>
      <c r="C261" s="3">
        <v>1</v>
      </c>
      <c r="D261" s="3">
        <v>978</v>
      </c>
      <c r="E261" s="3">
        <v>18</v>
      </c>
      <c r="F261" s="3">
        <v>2.0099999999999998</v>
      </c>
      <c r="N261"/>
      <c r="O261"/>
      <c r="P261"/>
      <c r="Q261"/>
    </row>
    <row r="262" spans="2:17">
      <c r="B262" s="3">
        <v>2</v>
      </c>
      <c r="C262" s="3">
        <v>1</v>
      </c>
      <c r="D262" s="3">
        <v>894</v>
      </c>
      <c r="E262" s="3">
        <v>19</v>
      </c>
      <c r="F262" s="3">
        <v>2.89</v>
      </c>
      <c r="N262"/>
      <c r="O262"/>
      <c r="P262"/>
      <c r="Q262"/>
    </row>
    <row r="263" spans="2:17">
      <c r="B263" s="3">
        <v>2</v>
      </c>
      <c r="C263" s="3">
        <v>1</v>
      </c>
      <c r="D263" s="3">
        <v>479</v>
      </c>
      <c r="E263" s="3">
        <v>13</v>
      </c>
      <c r="F263" s="3">
        <v>1.17</v>
      </c>
      <c r="N263"/>
      <c r="O263"/>
      <c r="P263"/>
      <c r="Q263"/>
    </row>
    <row r="264" spans="2:17">
      <c r="B264" s="3">
        <v>2</v>
      </c>
      <c r="C264" s="3">
        <v>1</v>
      </c>
      <c r="D264" s="3">
        <v>1023</v>
      </c>
      <c r="E264" s="3">
        <v>23</v>
      </c>
      <c r="F264" s="3">
        <v>1.63</v>
      </c>
      <c r="N264"/>
      <c r="O264"/>
      <c r="P264"/>
      <c r="Q264"/>
    </row>
    <row r="265" spans="2:17">
      <c r="B265" s="3">
        <v>2</v>
      </c>
      <c r="C265" s="3">
        <v>1</v>
      </c>
      <c r="D265" s="3">
        <v>1525</v>
      </c>
      <c r="E265" s="3">
        <v>19</v>
      </c>
      <c r="F265" s="3">
        <v>0.3</v>
      </c>
      <c r="N265"/>
      <c r="O265"/>
      <c r="P265"/>
      <c r="Q265"/>
    </row>
    <row r="266" spans="2:17">
      <c r="B266" s="3">
        <v>2</v>
      </c>
      <c r="C266" s="3">
        <v>2</v>
      </c>
      <c r="D266" s="3">
        <v>1320</v>
      </c>
      <c r="E266" s="3">
        <v>19</v>
      </c>
      <c r="F266" s="3">
        <v>1.5</v>
      </c>
      <c r="N266"/>
      <c r="O266"/>
      <c r="P266"/>
      <c r="Q266"/>
    </row>
    <row r="267" spans="2:17">
      <c r="B267" s="3">
        <v>2</v>
      </c>
      <c r="C267" s="3">
        <v>2</v>
      </c>
      <c r="D267" s="3">
        <v>1789</v>
      </c>
      <c r="E267" s="3">
        <v>9</v>
      </c>
      <c r="F267" s="3">
        <v>0.33</v>
      </c>
      <c r="N267"/>
      <c r="O267"/>
      <c r="P267"/>
      <c r="Q267"/>
    </row>
    <row r="268" spans="2:17">
      <c r="B268" s="3">
        <v>2</v>
      </c>
      <c r="C268" s="3">
        <v>2</v>
      </c>
      <c r="D268" s="3">
        <v>1472</v>
      </c>
      <c r="E268" s="3">
        <v>5</v>
      </c>
      <c r="F268" s="3">
        <v>1.9</v>
      </c>
      <c r="N268"/>
      <c r="O268"/>
      <c r="P268"/>
      <c r="Q268"/>
    </row>
    <row r="269" spans="2:17">
      <c r="B269" s="3">
        <v>2</v>
      </c>
      <c r="C269" s="3">
        <v>2</v>
      </c>
      <c r="D269" s="3">
        <v>930</v>
      </c>
      <c r="E269" s="3">
        <v>15</v>
      </c>
      <c r="F269" s="3">
        <v>1.64</v>
      </c>
      <c r="N269"/>
      <c r="O269"/>
      <c r="P269"/>
      <c r="Q269"/>
    </row>
    <row r="270" spans="2:17">
      <c r="B270" s="3">
        <v>2</v>
      </c>
      <c r="C270" s="3">
        <v>2</v>
      </c>
      <c r="D270" s="3">
        <v>1320</v>
      </c>
      <c r="E270" s="3">
        <v>20</v>
      </c>
      <c r="F270" s="3">
        <v>0.39</v>
      </c>
      <c r="N270"/>
      <c r="O270"/>
      <c r="P270"/>
      <c r="Q270"/>
    </row>
    <row r="271" spans="2:17">
      <c r="B271" s="3">
        <v>2</v>
      </c>
      <c r="C271" s="3">
        <v>2</v>
      </c>
      <c r="D271" s="3">
        <v>1576</v>
      </c>
      <c r="E271" s="3">
        <v>15</v>
      </c>
      <c r="F271" s="3">
        <v>0.88</v>
      </c>
      <c r="N271"/>
      <c r="O271"/>
      <c r="P271"/>
      <c r="Q271"/>
    </row>
    <row r="272" spans="2:17">
      <c r="B272" s="3">
        <v>2</v>
      </c>
      <c r="C272" s="3">
        <v>2</v>
      </c>
      <c r="D272" s="3">
        <v>1375</v>
      </c>
      <c r="E272" s="3">
        <v>16</v>
      </c>
      <c r="F272" s="3">
        <v>1.1499999999999999</v>
      </c>
      <c r="N272"/>
      <c r="O272"/>
      <c r="P272"/>
      <c r="Q272"/>
    </row>
    <row r="273" spans="2:17">
      <c r="B273" s="3">
        <v>2</v>
      </c>
      <c r="C273" s="3">
        <v>2</v>
      </c>
      <c r="D273" s="3">
        <v>1293</v>
      </c>
      <c r="E273" s="3">
        <v>11</v>
      </c>
      <c r="F273" s="3">
        <v>1.57</v>
      </c>
      <c r="N273"/>
      <c r="O273"/>
      <c r="P273"/>
      <c r="Q273"/>
    </row>
    <row r="274" spans="2:17">
      <c r="B274" s="3">
        <v>2</v>
      </c>
      <c r="C274" s="3">
        <v>2</v>
      </c>
      <c r="D274" s="3">
        <v>1232</v>
      </c>
      <c r="E274" s="3">
        <v>16</v>
      </c>
      <c r="F274" s="3">
        <v>1.2</v>
      </c>
      <c r="N274"/>
      <c r="O274"/>
      <c r="P274"/>
      <c r="Q274"/>
    </row>
    <row r="275" spans="2:17">
      <c r="B275" s="3">
        <v>2</v>
      </c>
      <c r="C275" s="3">
        <v>2</v>
      </c>
      <c r="D275" s="3">
        <v>1216</v>
      </c>
      <c r="E275" s="3">
        <v>11</v>
      </c>
      <c r="F275" s="3">
        <v>1.81</v>
      </c>
      <c r="N275"/>
      <c r="O275"/>
      <c r="P275"/>
      <c r="Q275"/>
    </row>
    <row r="276" spans="2:17">
      <c r="B276" s="3">
        <v>2</v>
      </c>
      <c r="C276" s="3">
        <v>2</v>
      </c>
      <c r="D276" s="3">
        <v>1102</v>
      </c>
      <c r="E276" s="3">
        <v>2</v>
      </c>
      <c r="F276" s="3">
        <v>0.67</v>
      </c>
      <c r="N276"/>
      <c r="O276"/>
      <c r="P276"/>
      <c r="Q276"/>
    </row>
    <row r="277" spans="2:17">
      <c r="B277" s="3">
        <v>2</v>
      </c>
      <c r="C277" s="3">
        <v>2</v>
      </c>
      <c r="D277" s="3">
        <v>1022</v>
      </c>
      <c r="E277" s="3">
        <v>9</v>
      </c>
      <c r="F277" s="3">
        <v>0.69</v>
      </c>
      <c r="N277"/>
      <c r="O277"/>
      <c r="P277"/>
      <c r="Q277"/>
    </row>
    <row r="278" spans="2:17">
      <c r="B278" s="3">
        <v>2</v>
      </c>
      <c r="C278" s="3">
        <v>2</v>
      </c>
      <c r="D278" s="3">
        <v>948</v>
      </c>
      <c r="E278" s="3">
        <v>10</v>
      </c>
      <c r="F278" s="3">
        <v>2.0499999999999998</v>
      </c>
      <c r="N278"/>
      <c r="O278"/>
      <c r="P278"/>
      <c r="Q278"/>
    </row>
    <row r="279" spans="2:17">
      <c r="B279" s="3">
        <v>2</v>
      </c>
      <c r="C279" s="3">
        <v>2</v>
      </c>
      <c r="D279" s="3">
        <v>696</v>
      </c>
      <c r="E279" s="3">
        <v>8</v>
      </c>
      <c r="F279" s="3">
        <v>1.97</v>
      </c>
      <c r="N279"/>
      <c r="O279"/>
      <c r="P279"/>
      <c r="Q279"/>
    </row>
    <row r="280" spans="2:17">
      <c r="B280" s="3">
        <v>2</v>
      </c>
      <c r="C280" s="3">
        <v>2</v>
      </c>
      <c r="D280" s="3">
        <v>1499</v>
      </c>
      <c r="E280" s="3">
        <v>14</v>
      </c>
      <c r="F280" s="3">
        <v>0.8</v>
      </c>
      <c r="N280"/>
      <c r="O280"/>
      <c r="P280"/>
      <c r="Q280"/>
    </row>
    <row r="281" spans="2:17">
      <c r="B281" s="3">
        <v>2</v>
      </c>
      <c r="C281" s="3">
        <v>2</v>
      </c>
      <c r="D281" s="3">
        <v>810</v>
      </c>
      <c r="E281" s="3">
        <v>3</v>
      </c>
      <c r="F281" s="3">
        <v>1.08</v>
      </c>
      <c r="N281"/>
      <c r="O281"/>
      <c r="P281"/>
      <c r="Q281"/>
    </row>
    <row r="282" spans="2:17">
      <c r="B282" s="3">
        <v>2</v>
      </c>
      <c r="C282" s="3">
        <v>2</v>
      </c>
      <c r="D282" s="3">
        <v>841</v>
      </c>
      <c r="E282" s="3">
        <v>22</v>
      </c>
      <c r="F282" s="3">
        <v>0.1</v>
      </c>
      <c r="N282"/>
      <c r="O282"/>
      <c r="P282"/>
      <c r="Q282"/>
    </row>
    <row r="283" spans="2:17">
      <c r="B283" s="3">
        <v>2</v>
      </c>
      <c r="C283" s="3">
        <v>2</v>
      </c>
      <c r="D283" s="3">
        <v>1602</v>
      </c>
      <c r="E283" s="3">
        <v>5</v>
      </c>
      <c r="F283" s="3">
        <v>0.55000000000000004</v>
      </c>
      <c r="N283"/>
      <c r="O283"/>
      <c r="P283"/>
      <c r="Q283"/>
    </row>
    <row r="284" spans="2:17">
      <c r="B284" s="3">
        <v>2</v>
      </c>
      <c r="C284" s="3">
        <v>2</v>
      </c>
      <c r="D284" s="3">
        <v>764</v>
      </c>
      <c r="E284" s="3">
        <v>11</v>
      </c>
      <c r="F284" s="3">
        <v>0.55000000000000004</v>
      </c>
      <c r="N284"/>
      <c r="O284"/>
      <c r="P284"/>
      <c r="Q284"/>
    </row>
    <row r="285" spans="2:17">
      <c r="B285" s="3">
        <v>2</v>
      </c>
      <c r="C285" s="3">
        <v>2</v>
      </c>
      <c r="D285" s="3">
        <v>1064</v>
      </c>
      <c r="E285" s="3">
        <v>13</v>
      </c>
      <c r="F285" s="3">
        <v>2.2000000000000002</v>
      </c>
      <c r="N285"/>
      <c r="O285"/>
      <c r="P285"/>
      <c r="Q285"/>
    </row>
    <row r="286" spans="2:17">
      <c r="B286" s="3">
        <v>2</v>
      </c>
      <c r="C286" s="3">
        <v>2</v>
      </c>
      <c r="D286" s="3">
        <v>1119</v>
      </c>
      <c r="E286" s="3">
        <v>12</v>
      </c>
      <c r="F286" s="3">
        <v>1.41</v>
      </c>
      <c r="N286"/>
      <c r="O286"/>
      <c r="P286"/>
      <c r="Q286"/>
    </row>
    <row r="287" spans="2:17">
      <c r="B287" s="3">
        <v>2</v>
      </c>
      <c r="C287" s="3">
        <v>2</v>
      </c>
      <c r="D287" s="3">
        <v>1383</v>
      </c>
      <c r="E287" s="3">
        <v>4</v>
      </c>
      <c r="F287" s="3">
        <v>0.76</v>
      </c>
      <c r="N287"/>
      <c r="O287"/>
      <c r="P287"/>
      <c r="Q287"/>
    </row>
    <row r="288" spans="2:17">
      <c r="B288" s="3">
        <v>2</v>
      </c>
      <c r="C288" s="3">
        <v>2</v>
      </c>
      <c r="D288" s="3">
        <v>994</v>
      </c>
      <c r="E288" s="3">
        <v>13</v>
      </c>
      <c r="F288" s="3">
        <v>2.41</v>
      </c>
      <c r="N288"/>
      <c r="O288"/>
      <c r="P288"/>
      <c r="Q288"/>
    </row>
    <row r="289" spans="2:17">
      <c r="B289" s="3">
        <v>2</v>
      </c>
      <c r="C289" s="3">
        <v>2</v>
      </c>
      <c r="D289" s="3">
        <v>1698</v>
      </c>
      <c r="E289" s="3">
        <v>16</v>
      </c>
      <c r="F289" s="3">
        <v>0.46</v>
      </c>
      <c r="N289"/>
      <c r="O289"/>
      <c r="P289"/>
      <c r="Q289"/>
    </row>
    <row r="290" spans="2:17">
      <c r="B290" s="3">
        <v>2</v>
      </c>
      <c r="C290" s="3">
        <v>2</v>
      </c>
      <c r="D290" s="3">
        <v>897</v>
      </c>
      <c r="E290" s="3">
        <v>15</v>
      </c>
      <c r="F290" s="3">
        <v>1.65</v>
      </c>
      <c r="N290"/>
      <c r="O290"/>
    </row>
    <row r="291" spans="2:17">
      <c r="B291" s="3">
        <v>2</v>
      </c>
      <c r="C291" s="3">
        <v>2</v>
      </c>
      <c r="D291" s="3">
        <v>1812</v>
      </c>
      <c r="E291" s="3">
        <v>18</v>
      </c>
      <c r="F291" s="3">
        <v>0</v>
      </c>
      <c r="N291"/>
      <c r="O291"/>
    </row>
    <row r="292" spans="2:17">
      <c r="B292" s="3">
        <v>2</v>
      </c>
      <c r="C292" s="3">
        <v>2</v>
      </c>
      <c r="D292" s="3">
        <v>715</v>
      </c>
      <c r="E292" s="3">
        <v>19</v>
      </c>
      <c r="F292" s="3">
        <v>1.79</v>
      </c>
      <c r="N292"/>
      <c r="O292"/>
    </row>
    <row r="293" spans="2:17">
      <c r="B293" s="3">
        <v>2</v>
      </c>
      <c r="C293" s="3">
        <v>2</v>
      </c>
      <c r="D293" s="3">
        <v>1341</v>
      </c>
      <c r="E293" s="3">
        <v>19</v>
      </c>
      <c r="F293" s="3">
        <v>1.43</v>
      </c>
      <c r="N293"/>
      <c r="O293"/>
    </row>
    <row r="294" spans="2:17">
      <c r="B294" s="3">
        <v>2</v>
      </c>
      <c r="C294" s="3">
        <v>2</v>
      </c>
      <c r="D294" s="3">
        <v>1665</v>
      </c>
      <c r="E294" s="3">
        <v>15</v>
      </c>
      <c r="F294" s="3">
        <v>0.31</v>
      </c>
      <c r="N294"/>
      <c r="O294"/>
    </row>
    <row r="295" spans="2:17">
      <c r="B295" s="3">
        <v>2</v>
      </c>
      <c r="C295" s="3">
        <v>2</v>
      </c>
      <c r="D295" s="3">
        <v>1494</v>
      </c>
      <c r="E295" s="3">
        <v>10</v>
      </c>
      <c r="F295" s="3">
        <v>0.47</v>
      </c>
      <c r="N295"/>
      <c r="O295"/>
    </row>
    <row r="296" spans="2:17">
      <c r="B296" s="3">
        <v>2</v>
      </c>
      <c r="C296" s="3">
        <v>2</v>
      </c>
      <c r="D296" s="3">
        <v>1014</v>
      </c>
      <c r="E296" s="3">
        <v>15</v>
      </c>
      <c r="F296" s="3">
        <v>1.39</v>
      </c>
      <c r="N296"/>
      <c r="O296"/>
    </row>
    <row r="297" spans="2:17">
      <c r="B297" s="3">
        <v>2</v>
      </c>
      <c r="C297" s="3">
        <v>2</v>
      </c>
      <c r="D297" s="3">
        <v>1169</v>
      </c>
      <c r="E297" s="3">
        <v>19</v>
      </c>
      <c r="F297" s="3">
        <v>0.2</v>
      </c>
      <c r="N297"/>
      <c r="O297"/>
    </row>
    <row r="298" spans="2:17">
      <c r="B298" s="3">
        <v>2</v>
      </c>
      <c r="C298" s="3">
        <v>2</v>
      </c>
      <c r="D298" s="3">
        <v>1198</v>
      </c>
      <c r="E298" s="3">
        <v>20</v>
      </c>
      <c r="F298" s="3">
        <v>0.86</v>
      </c>
      <c r="N298"/>
      <c r="O298"/>
    </row>
    <row r="299" spans="2:17">
      <c r="B299" s="3">
        <v>2</v>
      </c>
      <c r="C299" s="3">
        <v>2</v>
      </c>
      <c r="D299" s="3">
        <v>1731</v>
      </c>
      <c r="E299" s="3">
        <v>6</v>
      </c>
      <c r="F299" s="3">
        <v>1.46</v>
      </c>
      <c r="N299"/>
      <c r="O299"/>
    </row>
    <row r="300" spans="2:17">
      <c r="B300" s="3">
        <v>2</v>
      </c>
      <c r="C300" s="3">
        <v>2</v>
      </c>
      <c r="D300" s="3">
        <v>662</v>
      </c>
      <c r="E300" s="3">
        <v>5</v>
      </c>
      <c r="F300" s="3">
        <v>2.33</v>
      </c>
      <c r="N300"/>
      <c r="O300"/>
    </row>
    <row r="301" spans="2:17">
      <c r="B301" s="3">
        <v>2</v>
      </c>
      <c r="C301" s="3">
        <v>2</v>
      </c>
      <c r="D301" s="3">
        <v>1104</v>
      </c>
      <c r="E301" s="3">
        <v>10</v>
      </c>
      <c r="F301" s="3">
        <v>1.47</v>
      </c>
      <c r="N301"/>
      <c r="O301"/>
    </row>
    <row r="302" spans="2:17">
      <c r="B302" s="3">
        <v>2</v>
      </c>
      <c r="C302" s="3">
        <v>2</v>
      </c>
      <c r="D302" s="3">
        <v>1203</v>
      </c>
      <c r="E302" s="3">
        <v>18</v>
      </c>
      <c r="F302" s="3">
        <v>0</v>
      </c>
      <c r="N302"/>
      <c r="O302"/>
    </row>
    <row r="303" spans="2:17">
      <c r="B303" s="3">
        <v>2</v>
      </c>
      <c r="C303" s="3">
        <v>2</v>
      </c>
      <c r="D303" s="3">
        <v>901</v>
      </c>
      <c r="E303" s="3">
        <v>11</v>
      </c>
      <c r="F303" s="3">
        <v>2.14</v>
      </c>
      <c r="N303"/>
      <c r="O303"/>
    </row>
    <row r="304" spans="2:17">
      <c r="B304" s="3">
        <v>2</v>
      </c>
      <c r="C304" s="3">
        <v>2</v>
      </c>
      <c r="D304" s="3">
        <v>1315</v>
      </c>
      <c r="E304" s="3">
        <v>13</v>
      </c>
      <c r="F304" s="3">
        <v>0.9</v>
      </c>
      <c r="N304"/>
      <c r="O304"/>
    </row>
    <row r="305" spans="2:15">
      <c r="B305" s="3">
        <v>2</v>
      </c>
      <c r="C305" s="3">
        <v>2</v>
      </c>
      <c r="D305" s="3">
        <v>1302</v>
      </c>
      <c r="E305" s="3">
        <v>5</v>
      </c>
      <c r="F305" s="3">
        <v>1.19</v>
      </c>
      <c r="N305"/>
      <c r="O305"/>
    </row>
    <row r="306" spans="2:15">
      <c r="B306" s="3">
        <v>2</v>
      </c>
      <c r="C306" s="3">
        <v>2</v>
      </c>
      <c r="D306" s="3">
        <v>1755</v>
      </c>
      <c r="E306" s="3">
        <v>13</v>
      </c>
      <c r="F306" s="3">
        <v>0.75</v>
      </c>
      <c r="N306"/>
      <c r="O306"/>
    </row>
    <row r="307" spans="2:15">
      <c r="B307" s="3">
        <v>2</v>
      </c>
      <c r="C307" s="3">
        <v>2</v>
      </c>
      <c r="D307" s="3">
        <v>1277</v>
      </c>
      <c r="E307" s="3">
        <v>14</v>
      </c>
      <c r="F307" s="3">
        <v>0.01</v>
      </c>
      <c r="N307"/>
      <c r="O307"/>
    </row>
    <row r="308" spans="2:15">
      <c r="B308" s="3">
        <v>2</v>
      </c>
      <c r="C308" s="3">
        <v>2</v>
      </c>
      <c r="D308" s="3">
        <v>1132</v>
      </c>
      <c r="E308" s="3">
        <v>18</v>
      </c>
      <c r="F308" s="3">
        <v>2.41</v>
      </c>
      <c r="N308"/>
      <c r="O308"/>
    </row>
    <row r="309" spans="2:15">
      <c r="B309" s="3">
        <v>2</v>
      </c>
      <c r="C309" s="3">
        <v>2</v>
      </c>
      <c r="D309" s="3">
        <v>1678</v>
      </c>
      <c r="E309" s="3">
        <v>10</v>
      </c>
      <c r="F309" s="3">
        <v>1.41</v>
      </c>
      <c r="N309"/>
      <c r="O309"/>
    </row>
    <row r="310" spans="2:15">
      <c r="B310" s="3">
        <v>2</v>
      </c>
      <c r="C310" s="3">
        <v>2</v>
      </c>
      <c r="D310" s="3">
        <v>1210</v>
      </c>
      <c r="E310" s="3">
        <v>8</v>
      </c>
      <c r="F310" s="3">
        <v>1.87</v>
      </c>
      <c r="N310"/>
      <c r="O310"/>
    </row>
    <row r="311" spans="2:15">
      <c r="B311" s="3">
        <v>2</v>
      </c>
      <c r="C311" s="3">
        <v>2</v>
      </c>
      <c r="D311" s="3">
        <v>688</v>
      </c>
      <c r="E311" s="3">
        <v>26</v>
      </c>
      <c r="F311" s="3">
        <v>1.53</v>
      </c>
      <c r="N311"/>
      <c r="O311"/>
    </row>
    <row r="312" spans="2:15">
      <c r="B312" s="3">
        <v>2</v>
      </c>
      <c r="C312" s="3">
        <v>2</v>
      </c>
      <c r="D312" s="3">
        <v>635</v>
      </c>
      <c r="E312" s="3">
        <v>4</v>
      </c>
      <c r="F312" s="3">
        <v>2</v>
      </c>
      <c r="N312"/>
      <c r="O312"/>
    </row>
    <row r="313" spans="2:15">
      <c r="B313" s="3">
        <v>2</v>
      </c>
      <c r="C313" s="3">
        <v>2</v>
      </c>
      <c r="D313" s="3">
        <v>725</v>
      </c>
      <c r="E313" s="3">
        <v>10</v>
      </c>
      <c r="F313" s="3">
        <v>1.51</v>
      </c>
      <c r="N313"/>
      <c r="O313"/>
    </row>
    <row r="314" spans="2:15">
      <c r="B314" s="3">
        <v>2</v>
      </c>
      <c r="C314" s="3">
        <v>2</v>
      </c>
      <c r="D314" s="3">
        <v>945</v>
      </c>
      <c r="E314" s="3">
        <v>16</v>
      </c>
      <c r="F314" s="3">
        <v>2.0299999999999998</v>
      </c>
      <c r="N314"/>
      <c r="O314"/>
    </row>
    <row r="315" spans="2:15">
      <c r="B315" s="3">
        <v>2</v>
      </c>
      <c r="C315" s="3">
        <v>2</v>
      </c>
      <c r="D315" s="3">
        <v>818</v>
      </c>
      <c r="E315" s="3">
        <v>12</v>
      </c>
      <c r="F315" s="3">
        <v>1.0900000000000001</v>
      </c>
      <c r="N315"/>
      <c r="O315"/>
    </row>
    <row r="316" spans="2:15">
      <c r="B316" s="3">
        <v>2</v>
      </c>
      <c r="C316" s="3">
        <v>2</v>
      </c>
      <c r="D316" s="3">
        <v>1025</v>
      </c>
      <c r="E316" s="3">
        <v>13</v>
      </c>
      <c r="F316" s="3">
        <v>1.19</v>
      </c>
      <c r="N316"/>
      <c r="O316"/>
    </row>
    <row r="317" spans="2:15">
      <c r="B317" s="3">
        <v>2</v>
      </c>
      <c r="C317" s="3">
        <v>2</v>
      </c>
      <c r="D317" s="3">
        <v>1555</v>
      </c>
      <c r="E317" s="3">
        <v>6</v>
      </c>
      <c r="F317" s="3">
        <v>1.73</v>
      </c>
      <c r="N317"/>
      <c r="O317"/>
    </row>
    <row r="318" spans="2:15">
      <c r="B318" s="3">
        <v>2</v>
      </c>
      <c r="C318" s="3">
        <v>2</v>
      </c>
      <c r="D318" s="3">
        <v>379</v>
      </c>
      <c r="E318" s="3">
        <v>10</v>
      </c>
      <c r="F318" s="3">
        <v>2.58</v>
      </c>
      <c r="N318"/>
      <c r="O318"/>
    </row>
    <row r="319" spans="2:15">
      <c r="B319" s="3">
        <v>2</v>
      </c>
      <c r="C319" s="3">
        <v>2</v>
      </c>
      <c r="D319" s="3">
        <v>1229</v>
      </c>
      <c r="E319" s="3">
        <v>18</v>
      </c>
      <c r="F319" s="3">
        <v>0.5</v>
      </c>
      <c r="N319"/>
      <c r="O319"/>
    </row>
    <row r="320" spans="2:15">
      <c r="B320" s="3">
        <v>2</v>
      </c>
      <c r="C320" s="3">
        <v>2</v>
      </c>
      <c r="D320" s="3">
        <v>1381</v>
      </c>
      <c r="E320" s="3">
        <v>17</v>
      </c>
      <c r="F320" s="3">
        <v>1.67</v>
      </c>
      <c r="N320"/>
      <c r="O320"/>
    </row>
    <row r="321" spans="2:15">
      <c r="B321" s="3">
        <v>2</v>
      </c>
      <c r="C321" s="3">
        <v>2</v>
      </c>
      <c r="D321" s="3">
        <v>514</v>
      </c>
      <c r="E321" s="3">
        <v>11</v>
      </c>
      <c r="F321" s="3">
        <v>2.1</v>
      </c>
      <c r="N321"/>
      <c r="O321"/>
    </row>
    <row r="322" spans="2:15">
      <c r="B322" s="3">
        <v>2</v>
      </c>
      <c r="C322" s="3">
        <v>2</v>
      </c>
      <c r="D322" s="3">
        <v>1256</v>
      </c>
      <c r="E322" s="3">
        <v>16</v>
      </c>
      <c r="F322" s="3">
        <v>0.47</v>
      </c>
      <c r="N322"/>
      <c r="O322"/>
    </row>
    <row r="323" spans="2:15">
      <c r="B323" s="3">
        <v>2</v>
      </c>
      <c r="C323" s="3">
        <v>2</v>
      </c>
      <c r="D323" s="3">
        <v>1631</v>
      </c>
      <c r="E323" s="3">
        <v>12</v>
      </c>
      <c r="F323" s="3">
        <v>0.61</v>
      </c>
      <c r="N323"/>
      <c r="O323"/>
    </row>
    <row r="324" spans="2:15">
      <c r="B324" s="3">
        <v>2</v>
      </c>
      <c r="C324" s="3">
        <v>2</v>
      </c>
      <c r="D324" s="3">
        <v>1094</v>
      </c>
      <c r="E324" s="3">
        <v>12</v>
      </c>
      <c r="F324" s="3">
        <v>0.09</v>
      </c>
      <c r="N324"/>
      <c r="O324"/>
    </row>
    <row r="325" spans="2:15">
      <c r="B325" s="3">
        <v>2</v>
      </c>
      <c r="C325" s="3">
        <v>2</v>
      </c>
      <c r="D325" s="3">
        <v>1412</v>
      </c>
      <c r="E325" s="3">
        <v>17</v>
      </c>
      <c r="F325" s="3">
        <v>0.41</v>
      </c>
      <c r="N325"/>
      <c r="O325"/>
    </row>
    <row r="326" spans="2:15">
      <c r="B326" s="3">
        <v>2</v>
      </c>
      <c r="C326" s="3">
        <v>2</v>
      </c>
      <c r="D326" s="3">
        <v>1041</v>
      </c>
      <c r="E326" s="3">
        <v>6</v>
      </c>
      <c r="F326" s="3">
        <v>0.71</v>
      </c>
      <c r="N326"/>
      <c r="O326"/>
    </row>
    <row r="327" spans="2:15">
      <c r="B327" s="3">
        <v>2</v>
      </c>
      <c r="C327" s="3">
        <v>2</v>
      </c>
      <c r="D327" s="3">
        <v>1077</v>
      </c>
      <c r="E327" s="3">
        <v>7</v>
      </c>
      <c r="F327" s="3">
        <v>1.32</v>
      </c>
      <c r="N327"/>
      <c r="O327"/>
    </row>
    <row r="328" spans="2:15">
      <c r="B328" s="3">
        <v>2</v>
      </c>
      <c r="C328" s="3">
        <v>2</v>
      </c>
      <c r="D328" s="3">
        <v>1355</v>
      </c>
      <c r="E328" s="3">
        <v>15</v>
      </c>
      <c r="F328" s="3">
        <v>1.56</v>
      </c>
      <c r="N328"/>
      <c r="O328"/>
    </row>
    <row r="329" spans="2:15">
      <c r="B329" s="3">
        <v>2</v>
      </c>
      <c r="C329" s="3">
        <v>2</v>
      </c>
      <c r="D329" s="3">
        <v>1452</v>
      </c>
      <c r="E329" s="3">
        <v>15</v>
      </c>
      <c r="F329" s="3">
        <v>0.64</v>
      </c>
      <c r="N329"/>
      <c r="O329"/>
    </row>
    <row r="330" spans="2:15">
      <c r="B330" s="3">
        <v>2</v>
      </c>
      <c r="C330" s="3">
        <v>2</v>
      </c>
      <c r="D330" s="3">
        <v>1204</v>
      </c>
      <c r="E330" s="3">
        <v>17</v>
      </c>
      <c r="F330" s="3">
        <v>0.75</v>
      </c>
      <c r="N330"/>
      <c r="O330"/>
    </row>
    <row r="331" spans="2:15">
      <c r="B331" s="3">
        <v>2</v>
      </c>
      <c r="C331" s="3">
        <v>2</v>
      </c>
      <c r="D331" s="3">
        <v>1615</v>
      </c>
      <c r="E331" s="3">
        <v>26</v>
      </c>
      <c r="F331" s="3">
        <v>1.04</v>
      </c>
      <c r="N331"/>
      <c r="O331"/>
    </row>
    <row r="332" spans="2:15">
      <c r="B332" s="3">
        <v>2</v>
      </c>
      <c r="C332" s="3">
        <v>2</v>
      </c>
      <c r="D332" s="3">
        <v>970</v>
      </c>
      <c r="E332" s="3">
        <v>14</v>
      </c>
      <c r="F332" s="3">
        <v>0.86</v>
      </c>
      <c r="N332"/>
      <c r="O332"/>
    </row>
    <row r="333" spans="2:15">
      <c r="B333" s="3">
        <v>2</v>
      </c>
      <c r="C333" s="3">
        <v>2</v>
      </c>
      <c r="D333" s="3">
        <v>619</v>
      </c>
      <c r="E333" s="3">
        <v>19</v>
      </c>
      <c r="F333" s="3">
        <v>0.7</v>
      </c>
      <c r="N333"/>
      <c r="O333"/>
    </row>
    <row r="334" spans="2:15">
      <c r="B334" s="3">
        <v>2</v>
      </c>
      <c r="C334" s="3">
        <v>2</v>
      </c>
      <c r="D334" s="3">
        <v>848</v>
      </c>
      <c r="E334" s="3">
        <v>22</v>
      </c>
      <c r="F334" s="3">
        <v>1.82</v>
      </c>
      <c r="N334"/>
      <c r="O334"/>
    </row>
    <row r="335" spans="2:15">
      <c r="B335" s="3">
        <v>2</v>
      </c>
      <c r="C335" s="3">
        <v>2</v>
      </c>
      <c r="D335" s="3">
        <v>1110</v>
      </c>
      <c r="E335" s="3">
        <v>11</v>
      </c>
      <c r="F335" s="3">
        <v>0.68</v>
      </c>
      <c r="N335"/>
      <c r="O335"/>
    </row>
    <row r="336" spans="2:15">
      <c r="B336" s="3">
        <v>2</v>
      </c>
      <c r="C336" s="3">
        <v>2</v>
      </c>
      <c r="D336" s="3">
        <v>1255</v>
      </c>
      <c r="E336" s="3">
        <v>21</v>
      </c>
      <c r="F336" s="3">
        <v>1.08</v>
      </c>
      <c r="N336"/>
      <c r="O336"/>
    </row>
    <row r="337" spans="2:15">
      <c r="B337" s="3">
        <v>2</v>
      </c>
      <c r="C337" s="3">
        <v>2</v>
      </c>
      <c r="D337" s="3">
        <v>1532</v>
      </c>
      <c r="E337" s="3">
        <v>12</v>
      </c>
      <c r="F337" s="3">
        <v>0.63</v>
      </c>
      <c r="N337"/>
      <c r="O337"/>
    </row>
    <row r="338" spans="2:15">
      <c r="B338" s="3">
        <v>2</v>
      </c>
      <c r="C338" s="3">
        <v>2</v>
      </c>
      <c r="D338" s="3">
        <v>873</v>
      </c>
      <c r="E338" s="3">
        <v>15</v>
      </c>
      <c r="F338" s="3">
        <v>1.62</v>
      </c>
      <c r="N338"/>
      <c r="O338"/>
    </row>
    <row r="339" spans="2:15">
      <c r="B339" s="3">
        <v>2</v>
      </c>
      <c r="C339" s="3">
        <v>2</v>
      </c>
      <c r="D339" s="3">
        <v>870</v>
      </c>
      <c r="E339" s="3">
        <v>22</v>
      </c>
      <c r="F339" s="3">
        <v>0</v>
      </c>
      <c r="N339"/>
      <c r="O339"/>
    </row>
    <row r="340" spans="2:15">
      <c r="B340" s="3">
        <v>2</v>
      </c>
      <c r="C340" s="3">
        <v>2</v>
      </c>
      <c r="D340" s="3">
        <v>2016</v>
      </c>
      <c r="E340" s="3">
        <v>18</v>
      </c>
      <c r="F340" s="3">
        <v>1.35</v>
      </c>
      <c r="N340"/>
      <c r="O340"/>
    </row>
    <row r="341" spans="2:15">
      <c r="B341" s="3">
        <v>2</v>
      </c>
      <c r="C341" s="3">
        <v>2</v>
      </c>
      <c r="D341" s="3">
        <v>1014</v>
      </c>
      <c r="E341" s="3">
        <v>3</v>
      </c>
      <c r="F341" s="3">
        <v>1.71</v>
      </c>
      <c r="N341"/>
      <c r="O341"/>
    </row>
    <row r="342" spans="2:15">
      <c r="B342" s="3">
        <v>2</v>
      </c>
      <c r="C342" s="3">
        <v>3</v>
      </c>
      <c r="D342" s="3">
        <v>1385</v>
      </c>
      <c r="E342" s="3">
        <v>16</v>
      </c>
      <c r="F342" s="3">
        <v>0.31</v>
      </c>
      <c r="N342"/>
      <c r="O342"/>
    </row>
    <row r="343" spans="2:15">
      <c r="B343" s="3">
        <v>2</v>
      </c>
      <c r="C343" s="3">
        <v>3</v>
      </c>
      <c r="D343" s="3">
        <v>1292</v>
      </c>
      <c r="E343" s="3">
        <v>20</v>
      </c>
      <c r="F343" s="3">
        <v>1.39</v>
      </c>
      <c r="N343"/>
      <c r="O343"/>
    </row>
    <row r="344" spans="2:15">
      <c r="B344" s="3">
        <v>2</v>
      </c>
      <c r="C344" s="3">
        <v>3</v>
      </c>
      <c r="D344" s="3">
        <v>920</v>
      </c>
      <c r="E344" s="3">
        <v>5</v>
      </c>
      <c r="F344" s="3">
        <v>2.88</v>
      </c>
      <c r="N344"/>
      <c r="O344"/>
    </row>
    <row r="345" spans="2:15">
      <c r="B345" s="3">
        <v>2</v>
      </c>
      <c r="C345" s="3">
        <v>3</v>
      </c>
      <c r="D345" s="3">
        <v>1685</v>
      </c>
      <c r="E345" s="3">
        <v>15</v>
      </c>
      <c r="F345" s="3">
        <v>0</v>
      </c>
      <c r="N345"/>
      <c r="O345"/>
    </row>
    <row r="346" spans="2:15">
      <c r="B346" s="3">
        <v>2</v>
      </c>
      <c r="C346" s="3">
        <v>3</v>
      </c>
      <c r="D346" s="3">
        <v>419</v>
      </c>
      <c r="E346" s="3">
        <v>9</v>
      </c>
      <c r="F346" s="3">
        <v>0.52</v>
      </c>
      <c r="N346"/>
      <c r="O346"/>
    </row>
    <row r="347" spans="2:15">
      <c r="B347" s="3">
        <v>2</v>
      </c>
      <c r="C347" s="3">
        <v>3</v>
      </c>
      <c r="D347" s="3">
        <v>1477</v>
      </c>
      <c r="E347" s="3">
        <v>10</v>
      </c>
      <c r="F347" s="3">
        <v>1.1599999999999999</v>
      </c>
      <c r="N347"/>
      <c r="O347"/>
    </row>
    <row r="348" spans="2:15">
      <c r="B348" s="3">
        <v>2</v>
      </c>
      <c r="C348" s="3">
        <v>3</v>
      </c>
      <c r="D348" s="3">
        <v>677</v>
      </c>
      <c r="E348" s="3">
        <v>10</v>
      </c>
      <c r="F348" s="3">
        <v>0.71</v>
      </c>
      <c r="N348"/>
      <c r="O348"/>
    </row>
    <row r="349" spans="2:15">
      <c r="B349" s="3">
        <v>2</v>
      </c>
      <c r="C349" s="3">
        <v>3</v>
      </c>
      <c r="D349" s="3">
        <v>879</v>
      </c>
      <c r="E349" s="3">
        <v>17</v>
      </c>
      <c r="F349" s="3">
        <v>2.39</v>
      </c>
      <c r="N349"/>
      <c r="O349"/>
    </row>
    <row r="350" spans="2:15">
      <c r="B350" s="3">
        <v>2</v>
      </c>
      <c r="C350" s="3">
        <v>3</v>
      </c>
      <c r="D350" s="3">
        <v>1146</v>
      </c>
      <c r="E350" s="3">
        <v>8</v>
      </c>
      <c r="F350" s="3">
        <v>2.23</v>
      </c>
      <c r="N350"/>
      <c r="O350"/>
    </row>
    <row r="351" spans="2:15">
      <c r="B351" s="3">
        <v>2</v>
      </c>
      <c r="C351" s="3">
        <v>3</v>
      </c>
      <c r="D351" s="3">
        <v>1256</v>
      </c>
      <c r="E351" s="3">
        <v>11</v>
      </c>
      <c r="F351" s="3">
        <v>2.06</v>
      </c>
      <c r="N351"/>
      <c r="O351"/>
    </row>
    <row r="352" spans="2:15">
      <c r="B352" s="3">
        <v>2</v>
      </c>
      <c r="C352" s="3">
        <v>3</v>
      </c>
      <c r="D352" s="3">
        <v>950</v>
      </c>
      <c r="E352" s="3">
        <v>13</v>
      </c>
      <c r="F352" s="3">
        <v>1</v>
      </c>
      <c r="N352"/>
      <c r="O352"/>
    </row>
    <row r="353" spans="2:15">
      <c r="B353" s="3">
        <v>2</v>
      </c>
      <c r="C353" s="3">
        <v>3</v>
      </c>
      <c r="D353" s="3">
        <v>584</v>
      </c>
      <c r="E353" s="3">
        <v>12</v>
      </c>
      <c r="F353" s="3">
        <v>0.93</v>
      </c>
      <c r="N353"/>
      <c r="O353"/>
    </row>
    <row r="354" spans="2:15">
      <c r="B354" s="3">
        <v>2</v>
      </c>
      <c r="C354" s="3">
        <v>3</v>
      </c>
      <c r="D354" s="3">
        <v>1514</v>
      </c>
      <c r="E354" s="3">
        <v>7</v>
      </c>
      <c r="F354" s="3">
        <v>0.85</v>
      </c>
      <c r="N354"/>
      <c r="O354"/>
    </row>
    <row r="355" spans="2:15">
      <c r="B355" s="3">
        <v>2</v>
      </c>
      <c r="C355" s="3">
        <v>3</v>
      </c>
      <c r="D355" s="3">
        <v>1686</v>
      </c>
      <c r="E355" s="3">
        <v>18</v>
      </c>
      <c r="F355" s="3">
        <v>0</v>
      </c>
      <c r="N355"/>
      <c r="O355"/>
    </row>
    <row r="356" spans="2:15">
      <c r="B356" s="3">
        <v>2</v>
      </c>
      <c r="C356" s="3">
        <v>3</v>
      </c>
      <c r="D356" s="3">
        <v>832</v>
      </c>
      <c r="E356" s="3">
        <v>14</v>
      </c>
      <c r="F356" s="3">
        <v>0.46</v>
      </c>
      <c r="N356"/>
      <c r="O356"/>
    </row>
    <row r="357" spans="2:15">
      <c r="B357" s="3">
        <v>2</v>
      </c>
      <c r="C357" s="3">
        <v>3</v>
      </c>
      <c r="D357" s="3">
        <v>1104</v>
      </c>
      <c r="E357" s="3">
        <v>14</v>
      </c>
      <c r="F357" s="3">
        <v>1.45</v>
      </c>
      <c r="N357"/>
      <c r="O357"/>
    </row>
    <row r="358" spans="2:15">
      <c r="B358" s="3">
        <v>2</v>
      </c>
      <c r="C358" s="3">
        <v>3</v>
      </c>
      <c r="D358" s="3">
        <v>1022</v>
      </c>
      <c r="E358" s="3">
        <v>16</v>
      </c>
      <c r="F358" s="3">
        <v>2.3199999999999998</v>
      </c>
      <c r="N358"/>
      <c r="O358"/>
    </row>
    <row r="359" spans="2:15">
      <c r="B359" s="3">
        <v>2</v>
      </c>
      <c r="C359" s="3">
        <v>3</v>
      </c>
      <c r="D359" s="3">
        <v>1859</v>
      </c>
      <c r="E359" s="3">
        <v>21</v>
      </c>
      <c r="F359" s="3">
        <v>0</v>
      </c>
      <c r="N359"/>
      <c r="O359"/>
    </row>
    <row r="360" spans="2:15">
      <c r="B360" s="3">
        <v>2</v>
      </c>
      <c r="C360" s="3">
        <v>3</v>
      </c>
      <c r="D360" s="3">
        <v>1181</v>
      </c>
      <c r="E360" s="3">
        <v>8</v>
      </c>
      <c r="F360" s="3">
        <v>1.81</v>
      </c>
      <c r="N360"/>
      <c r="O360"/>
    </row>
    <row r="361" spans="2:15">
      <c r="B361" s="3">
        <v>2</v>
      </c>
      <c r="C361" s="3">
        <v>3</v>
      </c>
      <c r="D361" s="3">
        <v>856</v>
      </c>
      <c r="E361" s="3">
        <v>10</v>
      </c>
      <c r="F361" s="3">
        <v>1.27</v>
      </c>
      <c r="N361"/>
      <c r="O361"/>
    </row>
    <row r="362" spans="2:15">
      <c r="B362" s="3">
        <v>2</v>
      </c>
      <c r="C362" s="3">
        <v>3</v>
      </c>
      <c r="D362" s="3">
        <v>865</v>
      </c>
      <c r="E362" s="3">
        <v>21</v>
      </c>
      <c r="F362" s="3">
        <v>1.37</v>
      </c>
      <c r="N362"/>
      <c r="O362"/>
    </row>
    <row r="363" spans="2:15">
      <c r="B363" s="3">
        <v>2</v>
      </c>
      <c r="C363" s="3">
        <v>3</v>
      </c>
      <c r="D363" s="3">
        <v>1081</v>
      </c>
      <c r="E363" s="3">
        <v>21</v>
      </c>
      <c r="F363" s="3">
        <v>2.41</v>
      </c>
      <c r="N363"/>
      <c r="O363"/>
    </row>
    <row r="364" spans="2:15">
      <c r="B364" s="3">
        <v>2</v>
      </c>
      <c r="C364" s="3">
        <v>3</v>
      </c>
      <c r="D364" s="3">
        <v>872</v>
      </c>
      <c r="E364" s="3">
        <v>10</v>
      </c>
      <c r="F364" s="3">
        <v>1.46</v>
      </c>
      <c r="N364"/>
      <c r="O364"/>
    </row>
    <row r="365" spans="2:15">
      <c r="B365" s="3">
        <v>2</v>
      </c>
      <c r="C365" s="3">
        <v>3</v>
      </c>
      <c r="D365" s="3">
        <v>1292</v>
      </c>
      <c r="E365" s="3">
        <v>13</v>
      </c>
      <c r="F365" s="3">
        <v>1.25</v>
      </c>
      <c r="N365"/>
      <c r="O365"/>
    </row>
    <row r="366" spans="2:15">
      <c r="B366" s="3">
        <v>2</v>
      </c>
      <c r="C366" s="3">
        <v>3</v>
      </c>
      <c r="D366" s="3">
        <v>846</v>
      </c>
      <c r="E366" s="3">
        <v>10</v>
      </c>
      <c r="F366" s="3">
        <v>0.93</v>
      </c>
      <c r="N366"/>
      <c r="O366"/>
    </row>
    <row r="367" spans="2:15">
      <c r="B367" s="3">
        <v>2</v>
      </c>
      <c r="C367" s="3">
        <v>3</v>
      </c>
      <c r="D367" s="3">
        <v>1020</v>
      </c>
      <c r="E367" s="3">
        <v>7</v>
      </c>
      <c r="F367" s="3">
        <v>0.71</v>
      </c>
      <c r="N367"/>
      <c r="O367"/>
    </row>
    <row r="368" spans="2:15">
      <c r="B368" s="3">
        <v>2</v>
      </c>
      <c r="C368" s="3">
        <v>3</v>
      </c>
      <c r="D368" s="3">
        <v>1045</v>
      </c>
      <c r="E368" s="3">
        <v>14</v>
      </c>
      <c r="F368" s="3">
        <v>1.28</v>
      </c>
      <c r="N368"/>
      <c r="O368"/>
    </row>
    <row r="369" spans="2:15">
      <c r="B369" s="3">
        <v>2</v>
      </c>
      <c r="C369" s="3">
        <v>3</v>
      </c>
      <c r="D369" s="3">
        <v>1088</v>
      </c>
      <c r="E369" s="3">
        <v>9</v>
      </c>
      <c r="F369" s="3">
        <v>0.17</v>
      </c>
      <c r="N369"/>
      <c r="O369"/>
    </row>
    <row r="370" spans="2:15">
      <c r="B370" s="3">
        <v>2</v>
      </c>
      <c r="C370" s="3">
        <v>3</v>
      </c>
      <c r="D370" s="3">
        <v>1394</v>
      </c>
      <c r="E370" s="3">
        <v>17</v>
      </c>
      <c r="F370" s="3">
        <v>1.26</v>
      </c>
      <c r="N370"/>
      <c r="O370"/>
    </row>
    <row r="371" spans="2:15">
      <c r="B371" s="3">
        <v>2</v>
      </c>
      <c r="C371" s="3">
        <v>3</v>
      </c>
      <c r="D371" s="3">
        <v>1128</v>
      </c>
      <c r="E371" s="3">
        <v>9</v>
      </c>
      <c r="F371" s="3">
        <v>0.18</v>
      </c>
      <c r="N371"/>
      <c r="O371"/>
    </row>
    <row r="372" spans="2:15">
      <c r="B372" s="3">
        <v>2</v>
      </c>
      <c r="C372" s="3">
        <v>3</v>
      </c>
      <c r="D372" s="3">
        <v>484</v>
      </c>
      <c r="E372" s="3">
        <v>11</v>
      </c>
      <c r="F372" s="3">
        <v>1.6</v>
      </c>
      <c r="N372"/>
      <c r="O372"/>
    </row>
    <row r="373" spans="2:15">
      <c r="B373" s="3">
        <v>2</v>
      </c>
      <c r="C373" s="3">
        <v>3</v>
      </c>
      <c r="D373" s="3">
        <v>1945</v>
      </c>
      <c r="E373" s="3">
        <v>8</v>
      </c>
      <c r="F373" s="3">
        <v>1.1100000000000001</v>
      </c>
      <c r="N373"/>
      <c r="O373"/>
    </row>
    <row r="374" spans="2:15">
      <c r="B374" s="3">
        <v>2</v>
      </c>
      <c r="C374" s="3">
        <v>3</v>
      </c>
      <c r="D374" s="3">
        <v>1343</v>
      </c>
      <c r="E374" s="3">
        <v>19</v>
      </c>
      <c r="F374" s="3">
        <v>0.36</v>
      </c>
      <c r="N374"/>
      <c r="O374"/>
    </row>
    <row r="375" spans="2:15">
      <c r="B375" s="3">
        <v>2</v>
      </c>
      <c r="C375" s="3">
        <v>3</v>
      </c>
      <c r="D375" s="3">
        <v>1304</v>
      </c>
      <c r="E375" s="3">
        <v>15</v>
      </c>
      <c r="F375" s="3">
        <v>1.71</v>
      </c>
      <c r="N375"/>
      <c r="O375"/>
    </row>
    <row r="376" spans="2:15">
      <c r="B376" s="3">
        <v>2</v>
      </c>
      <c r="C376" s="3">
        <v>3</v>
      </c>
      <c r="D376" s="3">
        <v>934</v>
      </c>
      <c r="E376" s="3">
        <v>9</v>
      </c>
      <c r="F376" s="3">
        <v>1.98</v>
      </c>
      <c r="N376"/>
      <c r="O376"/>
    </row>
    <row r="377" spans="2:15">
      <c r="B377" s="3">
        <v>2</v>
      </c>
      <c r="C377" s="3">
        <v>3</v>
      </c>
      <c r="D377" s="3">
        <v>1022</v>
      </c>
      <c r="E377" s="3">
        <v>8</v>
      </c>
      <c r="F377" s="3">
        <v>0.15</v>
      </c>
      <c r="N377"/>
      <c r="O377"/>
    </row>
    <row r="378" spans="2:15">
      <c r="B378" s="3">
        <v>2</v>
      </c>
      <c r="C378" s="3">
        <v>3</v>
      </c>
      <c r="D378" s="3">
        <v>1171</v>
      </c>
      <c r="E378" s="3">
        <v>10</v>
      </c>
      <c r="F378" s="3">
        <v>1.43</v>
      </c>
      <c r="N378"/>
      <c r="O378"/>
    </row>
    <row r="379" spans="2:15">
      <c r="B379" s="3">
        <v>2</v>
      </c>
      <c r="C379" s="3">
        <v>3</v>
      </c>
      <c r="D379" s="3">
        <v>1090</v>
      </c>
      <c r="E379" s="3">
        <v>15</v>
      </c>
      <c r="F379" s="3">
        <v>1.48</v>
      </c>
      <c r="N379"/>
      <c r="O379"/>
    </row>
    <row r="380" spans="2:15">
      <c r="B380" s="3">
        <v>2</v>
      </c>
      <c r="C380" s="3">
        <v>3</v>
      </c>
      <c r="D380" s="3">
        <v>448</v>
      </c>
      <c r="E380" s="3">
        <v>10</v>
      </c>
      <c r="F380" s="3">
        <v>1.33</v>
      </c>
      <c r="N380"/>
      <c r="O380"/>
    </row>
    <row r="381" spans="2:15">
      <c r="B381" s="3">
        <v>2</v>
      </c>
      <c r="C381" s="3">
        <v>3</v>
      </c>
      <c r="D381" s="3">
        <v>721</v>
      </c>
      <c r="E381" s="3">
        <v>13</v>
      </c>
      <c r="F381" s="3">
        <v>0.77</v>
      </c>
      <c r="N381"/>
      <c r="O381"/>
    </row>
    <row r="382" spans="2:15">
      <c r="B382" s="3">
        <v>2</v>
      </c>
      <c r="C382" s="3">
        <v>3</v>
      </c>
      <c r="D382" s="3">
        <v>962</v>
      </c>
      <c r="E382" s="3">
        <v>15</v>
      </c>
      <c r="F382" s="3">
        <v>0.97</v>
      </c>
      <c r="N382"/>
      <c r="O382"/>
    </row>
    <row r="383" spans="2:15">
      <c r="B383" s="3">
        <v>2</v>
      </c>
      <c r="C383" s="3">
        <v>3</v>
      </c>
      <c r="D383" s="3">
        <v>960</v>
      </c>
      <c r="E383" s="3">
        <v>11</v>
      </c>
      <c r="F383" s="3">
        <v>0.93</v>
      </c>
      <c r="N383"/>
      <c r="O383"/>
    </row>
    <row r="384" spans="2:15">
      <c r="B384" s="3">
        <v>2</v>
      </c>
      <c r="C384" s="3">
        <v>3</v>
      </c>
      <c r="D384" s="3">
        <v>1621</v>
      </c>
      <c r="E384" s="3">
        <v>16</v>
      </c>
      <c r="F384" s="3">
        <v>0.76</v>
      </c>
      <c r="N384"/>
      <c r="O384"/>
    </row>
    <row r="385" spans="2:15">
      <c r="B385" s="3">
        <v>2</v>
      </c>
      <c r="C385" s="3">
        <v>3</v>
      </c>
      <c r="D385" s="3">
        <v>1290</v>
      </c>
      <c r="E385" s="3">
        <v>6</v>
      </c>
      <c r="F385" s="3">
        <v>2.23</v>
      </c>
      <c r="N385"/>
      <c r="O385"/>
    </row>
    <row r="386" spans="2:15">
      <c r="B386" s="3">
        <v>2</v>
      </c>
      <c r="C386" s="3">
        <v>3</v>
      </c>
      <c r="D386" s="3">
        <v>1279</v>
      </c>
      <c r="E386" s="3">
        <v>12</v>
      </c>
      <c r="F386" s="3">
        <v>1.28</v>
      </c>
      <c r="N386"/>
      <c r="O386"/>
    </row>
    <row r="387" spans="2:15">
      <c r="B387" s="3">
        <v>2</v>
      </c>
      <c r="C387" s="3">
        <v>3</v>
      </c>
      <c r="D387" s="3">
        <v>1227</v>
      </c>
      <c r="E387" s="3">
        <v>17</v>
      </c>
      <c r="F387" s="3">
        <v>1.31</v>
      </c>
      <c r="N387"/>
      <c r="O387"/>
    </row>
    <row r="388" spans="2:15">
      <c r="B388" s="3">
        <v>2</v>
      </c>
      <c r="C388" s="3">
        <v>3</v>
      </c>
      <c r="D388" s="3">
        <v>929</v>
      </c>
      <c r="E388" s="3">
        <v>10</v>
      </c>
      <c r="F388" s="3">
        <v>1.64</v>
      </c>
      <c r="N388"/>
      <c r="O388"/>
    </row>
    <row r="389" spans="2:15">
      <c r="B389" s="3">
        <v>2</v>
      </c>
      <c r="C389" s="3">
        <v>3</v>
      </c>
      <c r="D389" s="3">
        <v>902</v>
      </c>
      <c r="E389" s="3">
        <v>11</v>
      </c>
      <c r="F389" s="3">
        <v>2.74</v>
      </c>
      <c r="N389"/>
      <c r="O389"/>
    </row>
    <row r="390" spans="2:15">
      <c r="B390" s="3">
        <v>2</v>
      </c>
      <c r="C390" s="3">
        <v>3</v>
      </c>
      <c r="D390" s="3">
        <v>1108</v>
      </c>
      <c r="E390" s="3">
        <v>10</v>
      </c>
      <c r="F390" s="3">
        <v>2.21</v>
      </c>
      <c r="N390"/>
      <c r="O390"/>
    </row>
    <row r="391" spans="2:15">
      <c r="B391" s="3">
        <v>2</v>
      </c>
      <c r="C391" s="3">
        <v>3</v>
      </c>
      <c r="D391" s="3">
        <v>1466</v>
      </c>
      <c r="E391" s="3">
        <v>16</v>
      </c>
      <c r="F391" s="3">
        <v>1.48</v>
      </c>
      <c r="N391"/>
      <c r="O391"/>
    </row>
    <row r="392" spans="2:15">
      <c r="B392" s="3">
        <v>2</v>
      </c>
      <c r="C392" s="3">
        <v>3</v>
      </c>
      <c r="D392" s="3">
        <v>1259</v>
      </c>
      <c r="E392" s="3">
        <v>20</v>
      </c>
      <c r="F392" s="3">
        <v>0.88</v>
      </c>
      <c r="N392"/>
      <c r="O392"/>
    </row>
    <row r="393" spans="2:15">
      <c r="B393" s="3">
        <v>2</v>
      </c>
      <c r="C393" s="3">
        <v>3</v>
      </c>
      <c r="D393" s="3">
        <v>657</v>
      </c>
      <c r="E393" s="3">
        <v>17</v>
      </c>
      <c r="F393" s="3">
        <v>2.0699999999999998</v>
      </c>
      <c r="N393"/>
      <c r="O393"/>
    </row>
    <row r="394" spans="2:15">
      <c r="B394" s="3">
        <v>2</v>
      </c>
      <c r="C394" s="3">
        <v>3</v>
      </c>
      <c r="D394" s="3">
        <v>824</v>
      </c>
      <c r="E394" s="3">
        <v>16</v>
      </c>
      <c r="F394" s="3">
        <v>0.68</v>
      </c>
      <c r="N394"/>
      <c r="O394"/>
    </row>
    <row r="395" spans="2:15">
      <c r="B395" s="3">
        <v>2</v>
      </c>
      <c r="C395" s="3">
        <v>3</v>
      </c>
      <c r="D395" s="3">
        <v>1205</v>
      </c>
      <c r="E395" s="3">
        <v>13</v>
      </c>
      <c r="F395" s="3">
        <v>0.95</v>
      </c>
      <c r="N395"/>
      <c r="O395"/>
    </row>
    <row r="396" spans="2:15">
      <c r="B396" s="3">
        <v>2</v>
      </c>
      <c r="C396" s="3">
        <v>3</v>
      </c>
      <c r="D396" s="3">
        <v>1232</v>
      </c>
      <c r="E396" s="3">
        <v>12</v>
      </c>
      <c r="F396" s="3">
        <v>2.12</v>
      </c>
      <c r="N396"/>
      <c r="O396"/>
    </row>
    <row r="397" spans="2:15">
      <c r="B397" s="3">
        <v>2</v>
      </c>
      <c r="C397" s="3">
        <v>3</v>
      </c>
      <c r="D397" s="3">
        <v>1397</v>
      </c>
      <c r="E397" s="3">
        <v>11</v>
      </c>
      <c r="F397" s="3">
        <v>1.42</v>
      </c>
      <c r="N397"/>
      <c r="O397"/>
    </row>
    <row r="398" spans="2:15">
      <c r="B398" s="3">
        <v>2</v>
      </c>
      <c r="C398" s="3">
        <v>3</v>
      </c>
      <c r="D398" s="3">
        <v>1396</v>
      </c>
      <c r="E398" s="3">
        <v>10</v>
      </c>
      <c r="F398" s="3">
        <v>0.92</v>
      </c>
      <c r="N398"/>
      <c r="O398"/>
    </row>
    <row r="399" spans="2:15">
      <c r="B399" s="3">
        <v>2</v>
      </c>
      <c r="C399" s="3">
        <v>3</v>
      </c>
      <c r="D399" s="3">
        <v>1105</v>
      </c>
      <c r="E399" s="3">
        <v>13</v>
      </c>
      <c r="F399" s="3">
        <v>0.89</v>
      </c>
      <c r="N399"/>
      <c r="O399"/>
    </row>
    <row r="400" spans="2:15">
      <c r="B400" s="3">
        <v>2</v>
      </c>
      <c r="C400" s="3">
        <v>3</v>
      </c>
      <c r="D400" s="3">
        <v>1577</v>
      </c>
      <c r="E400" s="3">
        <v>13</v>
      </c>
      <c r="F400" s="3">
        <v>1.43</v>
      </c>
      <c r="N400"/>
      <c r="O400"/>
    </row>
    <row r="401" spans="2:15">
      <c r="B401" s="3">
        <v>2</v>
      </c>
      <c r="C401" s="3">
        <v>3</v>
      </c>
      <c r="D401" s="3">
        <v>1407</v>
      </c>
      <c r="E401" s="3">
        <v>12</v>
      </c>
      <c r="F401" s="3">
        <v>2.0299999999999998</v>
      </c>
      <c r="N401"/>
      <c r="O401"/>
    </row>
    <row r="402" spans="2:15">
      <c r="B402" s="3">
        <v>2</v>
      </c>
      <c r="C402" s="3">
        <v>3</v>
      </c>
      <c r="D402" s="3">
        <v>1760</v>
      </c>
      <c r="E402" s="3">
        <v>12</v>
      </c>
      <c r="F402" s="3">
        <v>2.0499999999999998</v>
      </c>
      <c r="N402"/>
      <c r="O402"/>
    </row>
    <row r="403" spans="2:15">
      <c r="B403" s="3">
        <v>2</v>
      </c>
      <c r="C403" s="3">
        <v>3</v>
      </c>
      <c r="D403" s="3">
        <v>828</v>
      </c>
      <c r="E403" s="3">
        <v>19</v>
      </c>
      <c r="F403" s="3">
        <v>1.42</v>
      </c>
      <c r="N403"/>
      <c r="O403"/>
    </row>
    <row r="404" spans="2:15">
      <c r="B404" s="3">
        <v>2</v>
      </c>
      <c r="C404" s="3">
        <v>3</v>
      </c>
      <c r="D404" s="3">
        <v>1249</v>
      </c>
      <c r="E404" s="3">
        <v>11</v>
      </c>
      <c r="F404" s="3">
        <v>0.75</v>
      </c>
      <c r="N404"/>
      <c r="O404"/>
    </row>
    <row r="405" spans="2:15">
      <c r="B405" s="3">
        <v>2</v>
      </c>
      <c r="C405" s="3">
        <v>3</v>
      </c>
      <c r="D405" s="3">
        <v>1019</v>
      </c>
      <c r="E405" s="3">
        <v>20</v>
      </c>
      <c r="F405" s="3">
        <v>1.57</v>
      </c>
      <c r="N405"/>
      <c r="O405"/>
    </row>
    <row r="406" spans="2:15">
      <c r="B406" s="3">
        <v>2</v>
      </c>
      <c r="C406" s="3">
        <v>3</v>
      </c>
      <c r="D406" s="3">
        <v>805</v>
      </c>
      <c r="E406" s="3">
        <v>16</v>
      </c>
      <c r="F406" s="3">
        <v>0.86</v>
      </c>
      <c r="N406"/>
      <c r="O406"/>
    </row>
    <row r="407" spans="2:15">
      <c r="B407" s="3">
        <v>2</v>
      </c>
      <c r="C407" s="3">
        <v>3</v>
      </c>
      <c r="D407" s="3">
        <v>510</v>
      </c>
      <c r="E407" s="3">
        <v>12</v>
      </c>
      <c r="F407" s="3">
        <v>0.57999999999999996</v>
      </c>
      <c r="N407"/>
      <c r="O407"/>
    </row>
    <row r="408" spans="2:15">
      <c r="B408" s="3">
        <v>2</v>
      </c>
      <c r="C408" s="3">
        <v>3</v>
      </c>
      <c r="D408" s="3">
        <v>1291</v>
      </c>
      <c r="E408" s="3">
        <v>13</v>
      </c>
      <c r="F408" s="3">
        <v>1.77</v>
      </c>
      <c r="N408"/>
      <c r="O408"/>
    </row>
    <row r="409" spans="2:15">
      <c r="B409" s="3">
        <v>2</v>
      </c>
      <c r="C409" s="3">
        <v>3</v>
      </c>
      <c r="D409" s="3">
        <v>823</v>
      </c>
      <c r="E409" s="3">
        <v>5</v>
      </c>
      <c r="F409" s="3">
        <v>1.92</v>
      </c>
      <c r="N409"/>
      <c r="O409"/>
    </row>
    <row r="410" spans="2:15">
      <c r="B410" s="3">
        <v>2</v>
      </c>
      <c r="C410" s="3">
        <v>3</v>
      </c>
      <c r="D410" s="3">
        <v>1783</v>
      </c>
      <c r="E410" s="3">
        <v>7</v>
      </c>
      <c r="F410" s="3">
        <v>0.67</v>
      </c>
      <c r="N410"/>
      <c r="O410"/>
    </row>
    <row r="411" spans="2:15">
      <c r="B411" s="3">
        <v>2</v>
      </c>
      <c r="C411" s="3">
        <v>3</v>
      </c>
      <c r="D411" s="3">
        <v>556</v>
      </c>
      <c r="E411" s="3">
        <v>15</v>
      </c>
      <c r="F411" s="3">
        <v>0.05</v>
      </c>
      <c r="N411"/>
      <c r="O411"/>
    </row>
    <row r="412" spans="2:15">
      <c r="B412" s="3">
        <v>2</v>
      </c>
      <c r="C412" s="3">
        <v>3</v>
      </c>
      <c r="D412" s="3">
        <v>1474</v>
      </c>
      <c r="E412" s="3">
        <v>17</v>
      </c>
      <c r="F412" s="3">
        <v>0</v>
      </c>
      <c r="N412"/>
      <c r="O412"/>
    </row>
    <row r="413" spans="2:15">
      <c r="B413" s="3">
        <v>2</v>
      </c>
      <c r="C413" s="3">
        <v>3</v>
      </c>
      <c r="D413" s="3">
        <v>1255</v>
      </c>
      <c r="E413" s="3">
        <v>15</v>
      </c>
      <c r="F413" s="3">
        <v>1.45</v>
      </c>
      <c r="N413"/>
      <c r="O413"/>
    </row>
    <row r="414" spans="2:15">
      <c r="B414" s="3">
        <v>2</v>
      </c>
      <c r="C414" s="3">
        <v>3</v>
      </c>
      <c r="D414" s="3">
        <v>1619</v>
      </c>
      <c r="E414" s="3">
        <v>17</v>
      </c>
      <c r="F414" s="3">
        <v>0.86</v>
      </c>
      <c r="N414"/>
      <c r="O414"/>
    </row>
    <row r="415" spans="2:15">
      <c r="B415" s="3">
        <v>2</v>
      </c>
      <c r="C415" s="3">
        <v>3</v>
      </c>
      <c r="D415" s="3">
        <v>1802</v>
      </c>
      <c r="E415" s="3">
        <v>13</v>
      </c>
      <c r="F415" s="3">
        <v>1.68</v>
      </c>
      <c r="N415"/>
      <c r="O415"/>
    </row>
    <row r="416" spans="2:15">
      <c r="B416" s="3">
        <v>2</v>
      </c>
      <c r="C416" s="3">
        <v>3</v>
      </c>
      <c r="D416" s="3">
        <v>960</v>
      </c>
      <c r="E416" s="3">
        <v>11</v>
      </c>
      <c r="F416" s="3">
        <v>2.02</v>
      </c>
      <c r="N416"/>
      <c r="O416"/>
    </row>
    <row r="417" spans="2:15">
      <c r="B417" s="3">
        <v>2</v>
      </c>
      <c r="C417" s="3">
        <v>3</v>
      </c>
      <c r="D417" s="3">
        <v>1214</v>
      </c>
      <c r="E417" s="3">
        <v>11</v>
      </c>
      <c r="F417" s="3">
        <v>1.53</v>
      </c>
      <c r="N417"/>
      <c r="O417"/>
    </row>
    <row r="418" spans="2:15">
      <c r="B418" s="3">
        <v>2</v>
      </c>
      <c r="C418" s="3">
        <v>3</v>
      </c>
      <c r="D418" s="3">
        <v>1216</v>
      </c>
      <c r="E418" s="3">
        <v>17</v>
      </c>
      <c r="F418" s="3">
        <v>1.35</v>
      </c>
      <c r="N418"/>
      <c r="O418"/>
    </row>
    <row r="419" spans="2:15">
      <c r="B419" s="3">
        <v>2</v>
      </c>
      <c r="C419" s="3">
        <v>3</v>
      </c>
      <c r="D419" s="3">
        <v>1397</v>
      </c>
      <c r="E419" s="3">
        <v>1</v>
      </c>
      <c r="F419" s="3">
        <v>1.97</v>
      </c>
      <c r="N419"/>
      <c r="O419"/>
    </row>
    <row r="420" spans="2:15">
      <c r="B420" s="3">
        <v>2</v>
      </c>
      <c r="C420" s="3">
        <v>3</v>
      </c>
      <c r="D420" s="3">
        <v>891</v>
      </c>
      <c r="E420" s="3">
        <v>25</v>
      </c>
      <c r="F420" s="3">
        <v>0.81</v>
      </c>
      <c r="N420"/>
      <c r="O420"/>
    </row>
    <row r="421" spans="2:15">
      <c r="B421" s="3">
        <v>2</v>
      </c>
      <c r="C421" s="3">
        <v>3</v>
      </c>
      <c r="D421" s="3">
        <v>1371</v>
      </c>
      <c r="E421" s="3">
        <v>13</v>
      </c>
      <c r="F421" s="3">
        <v>1</v>
      </c>
      <c r="N421"/>
      <c r="O421"/>
    </row>
    <row r="422" spans="2:15">
      <c r="B422" s="3">
        <v>2</v>
      </c>
      <c r="C422" s="3">
        <v>3</v>
      </c>
      <c r="D422" s="3">
        <v>1818</v>
      </c>
      <c r="E422" s="3">
        <v>8</v>
      </c>
      <c r="F422" s="3">
        <v>0.32</v>
      </c>
      <c r="N422"/>
      <c r="O422"/>
    </row>
    <row r="423" spans="2:15">
      <c r="B423" s="3">
        <v>2</v>
      </c>
      <c r="C423" s="3">
        <v>3</v>
      </c>
      <c r="D423" s="3">
        <v>1311</v>
      </c>
      <c r="E423" s="3">
        <v>3</v>
      </c>
      <c r="F423" s="3">
        <v>0.98</v>
      </c>
      <c r="N423"/>
      <c r="O423"/>
    </row>
    <row r="424" spans="2:15">
      <c r="B424" s="3">
        <v>2</v>
      </c>
      <c r="C424" s="3">
        <v>3</v>
      </c>
      <c r="D424" s="3">
        <v>1825</v>
      </c>
      <c r="E424" s="3">
        <v>17</v>
      </c>
      <c r="F424" s="3">
        <v>1.1200000000000001</v>
      </c>
      <c r="N424"/>
      <c r="O424"/>
    </row>
    <row r="425" spans="2:15">
      <c r="B425" s="3">
        <v>2</v>
      </c>
      <c r="C425" s="3">
        <v>3</v>
      </c>
      <c r="D425" s="3">
        <v>1812</v>
      </c>
      <c r="E425" s="3">
        <v>15</v>
      </c>
      <c r="F425" s="3">
        <v>2.0299999999999998</v>
      </c>
      <c r="N425"/>
      <c r="O425"/>
    </row>
    <row r="426" spans="2:15">
      <c r="B426" s="3">
        <v>2</v>
      </c>
      <c r="C426" s="3">
        <v>3</v>
      </c>
      <c r="D426" s="3">
        <v>948</v>
      </c>
      <c r="E426" s="3">
        <v>14</v>
      </c>
      <c r="F426" s="3">
        <v>1.98</v>
      </c>
      <c r="N426"/>
      <c r="O426"/>
    </row>
    <row r="427" spans="2:15">
      <c r="B427" s="3">
        <v>2</v>
      </c>
      <c r="C427" s="3">
        <v>3</v>
      </c>
      <c r="D427" s="3">
        <v>1319</v>
      </c>
      <c r="E427" s="3">
        <v>8</v>
      </c>
      <c r="F427" s="3">
        <v>1.18</v>
      </c>
      <c r="N427"/>
      <c r="O427"/>
    </row>
    <row r="428" spans="2:15">
      <c r="B428" s="3">
        <v>2</v>
      </c>
      <c r="C428" s="3">
        <v>3</v>
      </c>
      <c r="D428" s="3">
        <v>1299</v>
      </c>
      <c r="E428" s="3">
        <v>19</v>
      </c>
      <c r="F428" s="3">
        <v>0</v>
      </c>
      <c r="N428"/>
      <c r="O428"/>
    </row>
    <row r="429" spans="2:15">
      <c r="B429" s="3">
        <v>2</v>
      </c>
      <c r="C429" s="3">
        <v>3</v>
      </c>
      <c r="D429" s="3">
        <v>814</v>
      </c>
      <c r="E429" s="3">
        <v>14</v>
      </c>
      <c r="F429" s="3">
        <v>0.86</v>
      </c>
      <c r="N429"/>
      <c r="O429"/>
    </row>
    <row r="430" spans="2:15">
      <c r="B430" s="3">
        <v>2</v>
      </c>
      <c r="C430" s="3">
        <v>3</v>
      </c>
      <c r="D430" s="3">
        <v>1031</v>
      </c>
      <c r="E430" s="3">
        <v>12</v>
      </c>
      <c r="F430" s="3">
        <v>0.77</v>
      </c>
      <c r="N430"/>
      <c r="O430"/>
    </row>
    <row r="431" spans="2:15">
      <c r="B431" s="3">
        <v>2</v>
      </c>
      <c r="C431" s="3">
        <v>3</v>
      </c>
      <c r="D431" s="3">
        <v>1044</v>
      </c>
      <c r="E431" s="3">
        <v>6</v>
      </c>
      <c r="F431" s="3">
        <v>2.42</v>
      </c>
      <c r="N431"/>
      <c r="O431"/>
    </row>
    <row r="432" spans="2:15">
      <c r="B432" s="3">
        <v>2</v>
      </c>
      <c r="C432" s="3">
        <v>3</v>
      </c>
      <c r="D432" s="3">
        <v>1760</v>
      </c>
      <c r="E432" s="3">
        <v>10</v>
      </c>
      <c r="F432" s="3">
        <v>2.4700000000000002</v>
      </c>
      <c r="N432"/>
      <c r="O432"/>
    </row>
    <row r="433" spans="2:15">
      <c r="B433" s="3">
        <v>2</v>
      </c>
      <c r="C433" s="3">
        <v>3</v>
      </c>
      <c r="D433" s="3">
        <v>1564</v>
      </c>
      <c r="E433" s="3">
        <v>13</v>
      </c>
      <c r="F433" s="3">
        <v>0.67</v>
      </c>
      <c r="N433"/>
      <c r="O433"/>
    </row>
    <row r="434" spans="2:15">
      <c r="B434" s="3">
        <v>2</v>
      </c>
      <c r="C434" s="3">
        <v>3</v>
      </c>
      <c r="D434" s="3">
        <v>788</v>
      </c>
      <c r="E434" s="3">
        <v>14</v>
      </c>
      <c r="F434" s="3">
        <v>1.27</v>
      </c>
      <c r="N434"/>
      <c r="O434"/>
    </row>
    <row r="435" spans="2:15">
      <c r="B435" s="3">
        <v>2</v>
      </c>
      <c r="C435" s="3">
        <v>3</v>
      </c>
      <c r="D435" s="3">
        <v>1476</v>
      </c>
      <c r="E435" s="3">
        <v>11</v>
      </c>
      <c r="F435" s="3">
        <v>1.36</v>
      </c>
      <c r="N435"/>
      <c r="O435"/>
    </row>
    <row r="436" spans="2:15">
      <c r="B436" s="3">
        <v>2</v>
      </c>
      <c r="C436" s="3">
        <v>3</v>
      </c>
      <c r="D436" s="3">
        <v>1022</v>
      </c>
      <c r="E436" s="3">
        <v>9</v>
      </c>
      <c r="F436" s="3">
        <v>2.5299999999999998</v>
      </c>
      <c r="N436"/>
      <c r="O436"/>
    </row>
    <row r="437" spans="2:15">
      <c r="B437" s="3">
        <v>2</v>
      </c>
      <c r="C437" s="3">
        <v>3</v>
      </c>
      <c r="D437" s="3">
        <v>979</v>
      </c>
      <c r="E437" s="3">
        <v>11</v>
      </c>
      <c r="F437" s="3">
        <v>2.36</v>
      </c>
      <c r="N437"/>
      <c r="O437"/>
    </row>
    <row r="438" spans="2:15">
      <c r="B438" s="3">
        <v>2</v>
      </c>
      <c r="C438" s="3">
        <v>3</v>
      </c>
      <c r="D438" s="3">
        <v>1387</v>
      </c>
      <c r="E438" s="3">
        <v>15</v>
      </c>
      <c r="F438" s="3">
        <v>1.8</v>
      </c>
      <c r="N438"/>
      <c r="O438"/>
    </row>
    <row r="439" spans="2:15">
      <c r="B439" s="3">
        <v>2</v>
      </c>
      <c r="C439" s="3">
        <v>3</v>
      </c>
      <c r="D439" s="3">
        <v>1332</v>
      </c>
      <c r="E439" s="3">
        <v>13</v>
      </c>
      <c r="F439" s="3">
        <v>0</v>
      </c>
      <c r="N439"/>
      <c r="O439"/>
    </row>
    <row r="440" spans="2:15">
      <c r="B440" s="3">
        <v>2</v>
      </c>
      <c r="C440" s="3">
        <v>3</v>
      </c>
      <c r="D440" s="3">
        <v>1241</v>
      </c>
      <c r="E440" s="3">
        <v>7</v>
      </c>
      <c r="F440" s="3">
        <v>0.74</v>
      </c>
      <c r="N440"/>
      <c r="O440"/>
    </row>
    <row r="441" spans="2:15">
      <c r="B441" s="3">
        <v>2</v>
      </c>
      <c r="C441" s="3">
        <v>3</v>
      </c>
      <c r="D441" s="3">
        <v>1020</v>
      </c>
      <c r="E441" s="3">
        <v>5</v>
      </c>
      <c r="F441" s="3">
        <v>0.96</v>
      </c>
      <c r="N441"/>
      <c r="O441"/>
    </row>
    <row r="442" spans="2:15">
      <c r="B442" s="3">
        <v>2</v>
      </c>
      <c r="C442" s="3">
        <v>3</v>
      </c>
      <c r="D442" s="3">
        <v>918</v>
      </c>
      <c r="E442" s="3">
        <v>8</v>
      </c>
      <c r="F442" s="3">
        <v>3.29</v>
      </c>
      <c r="N442"/>
      <c r="O442"/>
    </row>
    <row r="443" spans="2:15">
      <c r="B443" s="3">
        <v>2</v>
      </c>
      <c r="C443" s="3">
        <v>3</v>
      </c>
      <c r="D443" s="3">
        <v>1204</v>
      </c>
      <c r="E443" s="3">
        <v>5</v>
      </c>
      <c r="F443" s="3">
        <v>0.96</v>
      </c>
      <c r="N443"/>
      <c r="O443"/>
    </row>
    <row r="444" spans="2:15">
      <c r="B444" s="3">
        <v>2</v>
      </c>
      <c r="C444" s="3">
        <v>3</v>
      </c>
      <c r="D444" s="3">
        <v>1373</v>
      </c>
      <c r="E444" s="3">
        <v>10</v>
      </c>
      <c r="F444" s="3">
        <v>0.88</v>
      </c>
      <c r="N444"/>
      <c r="O444"/>
    </row>
    <row r="445" spans="2:15">
      <c r="B445" s="3">
        <v>2</v>
      </c>
      <c r="C445" s="3">
        <v>3</v>
      </c>
      <c r="D445" s="3">
        <v>1243</v>
      </c>
      <c r="E445" s="3">
        <v>14</v>
      </c>
      <c r="F445" s="3">
        <v>0.56999999999999995</v>
      </c>
      <c r="N445"/>
      <c r="O445"/>
    </row>
    <row r="446" spans="2:15">
      <c r="B446" s="3">
        <v>2</v>
      </c>
      <c r="C446" s="3">
        <v>3</v>
      </c>
      <c r="D446" s="3">
        <v>1552</v>
      </c>
      <c r="E446" s="3">
        <v>1</v>
      </c>
      <c r="F446" s="3">
        <v>0.62</v>
      </c>
      <c r="N446"/>
      <c r="O446"/>
    </row>
    <row r="447" spans="2:15">
      <c r="B447" s="3">
        <v>2</v>
      </c>
      <c r="C447" s="3">
        <v>3</v>
      </c>
      <c r="D447" s="3">
        <v>1415</v>
      </c>
      <c r="E447" s="3">
        <v>10</v>
      </c>
      <c r="F447" s="3">
        <v>1</v>
      </c>
      <c r="N447"/>
      <c r="O447"/>
    </row>
    <row r="448" spans="2:15">
      <c r="B448" s="3">
        <v>2</v>
      </c>
      <c r="C448" s="3">
        <v>3</v>
      </c>
      <c r="D448" s="3">
        <v>1346</v>
      </c>
      <c r="E448" s="3">
        <v>11</v>
      </c>
      <c r="F448" s="3">
        <v>0.21</v>
      </c>
      <c r="N448"/>
      <c r="O448"/>
    </row>
    <row r="449" spans="2:15">
      <c r="B449" s="3">
        <v>2</v>
      </c>
      <c r="C449" s="3">
        <v>3</v>
      </c>
      <c r="D449" s="3">
        <v>1018</v>
      </c>
      <c r="E449" s="3">
        <v>16</v>
      </c>
      <c r="F449" s="3">
        <v>0</v>
      </c>
      <c r="N449"/>
      <c r="O449"/>
    </row>
    <row r="450" spans="2:15">
      <c r="B450" s="3">
        <v>2</v>
      </c>
      <c r="C450" s="3">
        <v>3</v>
      </c>
      <c r="D450" s="3">
        <v>1009</v>
      </c>
      <c r="E450" s="3">
        <v>10</v>
      </c>
      <c r="F450" s="3">
        <v>1.71</v>
      </c>
      <c r="N450"/>
      <c r="O450"/>
    </row>
    <row r="451" spans="2:15">
      <c r="B451" s="3">
        <v>2</v>
      </c>
      <c r="C451" s="3">
        <v>3</v>
      </c>
      <c r="D451" s="3">
        <v>1287</v>
      </c>
      <c r="E451" s="3">
        <v>13</v>
      </c>
      <c r="F451" s="3">
        <v>0.62</v>
      </c>
      <c r="N451"/>
      <c r="O451"/>
    </row>
    <row r="452" spans="2:15">
      <c r="B452" s="3">
        <v>2</v>
      </c>
      <c r="C452" s="3">
        <v>3</v>
      </c>
      <c r="D452" s="3">
        <v>1654</v>
      </c>
      <c r="E452" s="3">
        <v>15</v>
      </c>
      <c r="F452" s="3">
        <v>0.54</v>
      </c>
      <c r="N452"/>
      <c r="O452"/>
    </row>
    <row r="453" spans="2:15">
      <c r="B453" s="3">
        <v>2</v>
      </c>
      <c r="C453" s="3">
        <v>3</v>
      </c>
      <c r="D453" s="3">
        <v>1324</v>
      </c>
      <c r="E453" s="3">
        <v>8</v>
      </c>
      <c r="F453" s="3">
        <v>1.56</v>
      </c>
      <c r="N453"/>
      <c r="O453"/>
    </row>
    <row r="454" spans="2:15">
      <c r="B454" s="3">
        <v>2</v>
      </c>
      <c r="C454" s="3">
        <v>3</v>
      </c>
      <c r="D454" s="3">
        <v>809</v>
      </c>
      <c r="E454" s="3">
        <v>19</v>
      </c>
      <c r="F454" s="3">
        <v>1.42</v>
      </c>
      <c r="N454"/>
      <c r="O454"/>
    </row>
    <row r="455" spans="2:15">
      <c r="B455" s="3">
        <v>2</v>
      </c>
      <c r="C455" s="3">
        <v>3</v>
      </c>
      <c r="D455" s="3">
        <v>1457</v>
      </c>
      <c r="E455" s="3">
        <v>21</v>
      </c>
      <c r="F455" s="3">
        <v>1.83</v>
      </c>
      <c r="N455"/>
      <c r="O455"/>
    </row>
    <row r="456" spans="2:15">
      <c r="B456" s="3">
        <v>2</v>
      </c>
      <c r="C456" s="3">
        <v>3</v>
      </c>
      <c r="D456" s="3">
        <v>986</v>
      </c>
      <c r="E456" s="3">
        <v>19</v>
      </c>
      <c r="F456" s="3">
        <v>1.84</v>
      </c>
      <c r="N456"/>
      <c r="O456"/>
    </row>
    <row r="457" spans="2:15">
      <c r="B457" s="3">
        <v>2</v>
      </c>
      <c r="C457" s="3">
        <v>3</v>
      </c>
      <c r="D457" s="3">
        <v>1824</v>
      </c>
      <c r="E457" s="3">
        <v>11</v>
      </c>
      <c r="F457" s="3">
        <v>0.75</v>
      </c>
      <c r="N457"/>
      <c r="O457"/>
    </row>
    <row r="458" spans="2:15">
      <c r="B458" s="3">
        <v>2</v>
      </c>
      <c r="C458" s="3">
        <v>3</v>
      </c>
      <c r="D458" s="3">
        <v>1698</v>
      </c>
      <c r="E458" s="3">
        <v>12</v>
      </c>
      <c r="F458" s="3">
        <v>0.59</v>
      </c>
      <c r="N458"/>
      <c r="O458"/>
    </row>
    <row r="459" spans="2:15">
      <c r="B459" s="3">
        <v>2</v>
      </c>
      <c r="C459" s="3">
        <v>3</v>
      </c>
      <c r="D459" s="3">
        <v>1119</v>
      </c>
      <c r="E459" s="3">
        <v>10</v>
      </c>
      <c r="F459" s="3">
        <v>1.2</v>
      </c>
      <c r="N459"/>
      <c r="O459"/>
    </row>
    <row r="460" spans="2:15">
      <c r="B460" s="3">
        <v>2</v>
      </c>
      <c r="C460" s="3">
        <v>3</v>
      </c>
      <c r="D460" s="3">
        <v>680</v>
      </c>
      <c r="E460" s="3">
        <v>13</v>
      </c>
      <c r="F460" s="3">
        <v>2.69</v>
      </c>
      <c r="N460"/>
      <c r="O460"/>
    </row>
    <row r="461" spans="2:15">
      <c r="B461" s="3">
        <v>2</v>
      </c>
      <c r="C461" s="3">
        <v>3</v>
      </c>
      <c r="D461" s="3">
        <v>1242</v>
      </c>
      <c r="E461" s="3">
        <v>18</v>
      </c>
      <c r="F461" s="3">
        <v>0.95</v>
      </c>
      <c r="N461"/>
      <c r="O461"/>
    </row>
    <row r="462" spans="2:15">
      <c r="B462" s="3">
        <v>2</v>
      </c>
      <c r="C462" s="3">
        <v>3</v>
      </c>
      <c r="D462" s="3">
        <v>1294</v>
      </c>
      <c r="E462" s="3">
        <v>9</v>
      </c>
      <c r="F462" s="3">
        <v>2.17</v>
      </c>
      <c r="N462"/>
      <c r="O462"/>
    </row>
    <row r="463" spans="2:15">
      <c r="B463" s="3">
        <v>2</v>
      </c>
      <c r="C463" s="3">
        <v>3</v>
      </c>
      <c r="D463" s="3">
        <v>958</v>
      </c>
      <c r="E463" s="3">
        <v>16</v>
      </c>
      <c r="F463" s="3">
        <v>1.28</v>
      </c>
      <c r="N463"/>
      <c r="O463"/>
    </row>
    <row r="464" spans="2:15">
      <c r="B464" s="3">
        <v>2</v>
      </c>
      <c r="C464" s="3">
        <v>3</v>
      </c>
      <c r="D464" s="3">
        <v>1704</v>
      </c>
      <c r="E464" s="3">
        <v>6</v>
      </c>
      <c r="F464" s="3">
        <v>1.54</v>
      </c>
      <c r="N464"/>
      <c r="O464"/>
    </row>
    <row r="465" spans="2:15">
      <c r="B465" s="3">
        <v>2</v>
      </c>
      <c r="C465" s="3">
        <v>3</v>
      </c>
      <c r="D465" s="3">
        <v>1028</v>
      </c>
      <c r="E465" s="3">
        <v>7</v>
      </c>
      <c r="F465" s="3">
        <v>0.83</v>
      </c>
      <c r="N465"/>
      <c r="O465"/>
    </row>
    <row r="466" spans="2:15">
      <c r="B466" s="3">
        <v>2</v>
      </c>
      <c r="C466" s="3">
        <v>3</v>
      </c>
      <c r="D466" s="3">
        <v>1127</v>
      </c>
      <c r="E466" s="3">
        <v>7</v>
      </c>
      <c r="F466" s="3">
        <v>2.08</v>
      </c>
      <c r="N466"/>
      <c r="O466"/>
    </row>
    <row r="467" spans="2:15">
      <c r="B467" s="3">
        <v>2</v>
      </c>
      <c r="C467" s="3">
        <v>3</v>
      </c>
      <c r="D467" s="3">
        <v>979</v>
      </c>
      <c r="E467" s="3">
        <v>8</v>
      </c>
      <c r="F467" s="3">
        <v>2.2999999999999998</v>
      </c>
      <c r="N467"/>
      <c r="O467"/>
    </row>
    <row r="468" spans="2:15">
      <c r="B468" s="3">
        <v>2</v>
      </c>
      <c r="C468" s="3">
        <v>3</v>
      </c>
      <c r="D468" s="3">
        <v>427</v>
      </c>
      <c r="E468" s="3">
        <v>15</v>
      </c>
      <c r="F468" s="3">
        <v>2.06</v>
      </c>
      <c r="N468"/>
      <c r="O468"/>
    </row>
    <row r="469" spans="2:15">
      <c r="B469" s="3">
        <v>2</v>
      </c>
      <c r="C469" s="3">
        <v>3</v>
      </c>
      <c r="D469" s="3">
        <v>1731</v>
      </c>
      <c r="E469" s="3">
        <v>12</v>
      </c>
      <c r="F469" s="3">
        <v>1.4</v>
      </c>
      <c r="N469"/>
      <c r="O469"/>
    </row>
    <row r="470" spans="2:15">
      <c r="B470" s="3">
        <v>2</v>
      </c>
      <c r="C470" s="3">
        <v>3</v>
      </c>
      <c r="D470" s="3">
        <v>1058</v>
      </c>
      <c r="E470" s="3">
        <v>17</v>
      </c>
      <c r="F470" s="3">
        <v>1.62</v>
      </c>
      <c r="N470"/>
      <c r="O470"/>
    </row>
    <row r="471" spans="2:15">
      <c r="B471" s="3">
        <v>2</v>
      </c>
      <c r="C471" s="3">
        <v>3</v>
      </c>
      <c r="D471" s="3">
        <v>1070</v>
      </c>
      <c r="E471" s="3">
        <v>16</v>
      </c>
      <c r="F471" s="3">
        <v>1.18</v>
      </c>
      <c r="N471"/>
      <c r="O471"/>
    </row>
    <row r="472" spans="2:15">
      <c r="B472" s="3">
        <v>2</v>
      </c>
      <c r="C472" s="3">
        <v>3</v>
      </c>
      <c r="D472" s="3">
        <v>1354</v>
      </c>
      <c r="E472" s="3">
        <v>16</v>
      </c>
      <c r="F472" s="3">
        <v>1.36</v>
      </c>
      <c r="N472"/>
      <c r="O472"/>
    </row>
    <row r="473" spans="2:15">
      <c r="B473" s="3">
        <v>2</v>
      </c>
      <c r="C473" s="3">
        <v>3</v>
      </c>
      <c r="D473" s="3">
        <v>1050</v>
      </c>
      <c r="E473" s="3">
        <v>8</v>
      </c>
      <c r="F473" s="3">
        <v>1.57</v>
      </c>
      <c r="N473"/>
      <c r="O473"/>
    </row>
    <row r="474" spans="2:15">
      <c r="B474" s="3">
        <v>2</v>
      </c>
      <c r="C474" s="3">
        <v>3</v>
      </c>
      <c r="D474" s="3">
        <v>1095</v>
      </c>
      <c r="E474" s="3">
        <v>25</v>
      </c>
      <c r="F474" s="3">
        <v>1.04</v>
      </c>
      <c r="N474"/>
      <c r="O474"/>
    </row>
    <row r="475" spans="2:15">
      <c r="B475" s="3">
        <v>2</v>
      </c>
      <c r="C475" s="3">
        <v>3</v>
      </c>
      <c r="D475" s="3">
        <v>1198</v>
      </c>
      <c r="E475" s="3">
        <v>13</v>
      </c>
      <c r="F475" s="3">
        <v>1.31</v>
      </c>
      <c r="N475"/>
      <c r="O475"/>
    </row>
    <row r="476" spans="2:15">
      <c r="B476" s="3">
        <v>2</v>
      </c>
      <c r="C476" s="3">
        <v>3</v>
      </c>
      <c r="D476" s="3">
        <v>1241</v>
      </c>
      <c r="E476" s="3">
        <v>3</v>
      </c>
      <c r="F476" s="3">
        <v>0.43</v>
      </c>
      <c r="N476"/>
      <c r="O476"/>
    </row>
    <row r="477" spans="2:15">
      <c r="B477" s="3">
        <v>2</v>
      </c>
      <c r="C477" s="3">
        <v>3</v>
      </c>
      <c r="D477" s="3">
        <v>1156</v>
      </c>
      <c r="E477" s="3">
        <v>2</v>
      </c>
      <c r="F477" s="3">
        <v>2.23</v>
      </c>
      <c r="N477"/>
      <c r="O477"/>
    </row>
    <row r="478" spans="2:15">
      <c r="B478" s="3">
        <v>2</v>
      </c>
      <c r="C478" s="3">
        <v>3</v>
      </c>
      <c r="D478" s="3">
        <v>1142</v>
      </c>
      <c r="E478" s="3">
        <v>12</v>
      </c>
      <c r="F478" s="3">
        <v>0.18</v>
      </c>
      <c r="N478"/>
      <c r="O478"/>
    </row>
    <row r="479" spans="2:15">
      <c r="B479" s="3">
        <v>2</v>
      </c>
      <c r="C479" s="3">
        <v>3</v>
      </c>
      <c r="D479" s="3">
        <v>1072</v>
      </c>
      <c r="E479" s="3">
        <v>11</v>
      </c>
      <c r="F479" s="3">
        <v>2.37</v>
      </c>
      <c r="N479"/>
      <c r="O479"/>
    </row>
    <row r="480" spans="2:15">
      <c r="B480" s="3">
        <v>2</v>
      </c>
      <c r="C480" s="3">
        <v>3</v>
      </c>
      <c r="D480" s="3">
        <v>1060</v>
      </c>
      <c r="E480" s="3">
        <v>12</v>
      </c>
      <c r="F480" s="3">
        <v>1.49</v>
      </c>
      <c r="N480"/>
      <c r="O480"/>
    </row>
    <row r="481" spans="2:15">
      <c r="B481" s="3">
        <v>2</v>
      </c>
      <c r="C481" s="3">
        <v>3</v>
      </c>
      <c r="D481" s="3">
        <v>1216</v>
      </c>
      <c r="E481" s="3">
        <v>4</v>
      </c>
      <c r="F481" s="3">
        <v>1.99</v>
      </c>
      <c r="N481"/>
      <c r="O481"/>
    </row>
    <row r="482" spans="2:15">
      <c r="B482" s="3">
        <v>2</v>
      </c>
      <c r="C482" s="3">
        <v>3</v>
      </c>
      <c r="D482" s="3">
        <v>1261</v>
      </c>
      <c r="E482" s="3">
        <v>6</v>
      </c>
      <c r="F482" s="3">
        <v>1.88</v>
      </c>
      <c r="N482"/>
      <c r="O482"/>
    </row>
    <row r="483" spans="2:15">
      <c r="B483" s="3">
        <v>2</v>
      </c>
      <c r="C483" s="3">
        <v>3</v>
      </c>
      <c r="D483" s="3">
        <v>961</v>
      </c>
      <c r="E483" s="3">
        <v>15</v>
      </c>
      <c r="F483" s="3">
        <v>2.02</v>
      </c>
      <c r="N483"/>
      <c r="O483"/>
    </row>
    <row r="484" spans="2:15">
      <c r="B484" s="3">
        <v>2</v>
      </c>
      <c r="C484" s="3">
        <v>3</v>
      </c>
      <c r="D484" s="3">
        <v>1682</v>
      </c>
      <c r="E484" s="3">
        <v>1</v>
      </c>
      <c r="F484" s="3">
        <v>1.79</v>
      </c>
      <c r="N484"/>
      <c r="O484"/>
    </row>
    <row r="485" spans="2:15">
      <c r="B485" s="3">
        <v>2</v>
      </c>
      <c r="C485" s="3">
        <v>3</v>
      </c>
      <c r="D485" s="3">
        <v>1023</v>
      </c>
      <c r="E485" s="3">
        <v>9</v>
      </c>
      <c r="F485" s="3">
        <v>2.12</v>
      </c>
      <c r="N485"/>
      <c r="O485"/>
    </row>
    <row r="486" spans="2:15">
      <c r="B486" s="3">
        <v>2</v>
      </c>
      <c r="C486" s="3">
        <v>3</v>
      </c>
      <c r="D486" s="3">
        <v>470</v>
      </c>
      <c r="E486" s="3">
        <v>11</v>
      </c>
      <c r="F486" s="3">
        <v>2.5</v>
      </c>
      <c r="N486"/>
      <c r="O486"/>
    </row>
    <row r="487" spans="2:15">
      <c r="B487" s="3">
        <v>2</v>
      </c>
      <c r="C487" s="3">
        <v>3</v>
      </c>
      <c r="D487" s="3">
        <v>497</v>
      </c>
      <c r="E487" s="3">
        <v>15</v>
      </c>
      <c r="F487" s="3">
        <v>0.88</v>
      </c>
      <c r="N487"/>
      <c r="O487"/>
    </row>
    <row r="488" spans="2:15">
      <c r="B488" s="3">
        <v>2</v>
      </c>
      <c r="C488" s="3">
        <v>3</v>
      </c>
      <c r="D488" s="3">
        <v>593</v>
      </c>
      <c r="E488" s="3">
        <v>8</v>
      </c>
      <c r="F488" s="3">
        <v>1.87</v>
      </c>
      <c r="N488"/>
      <c r="O488"/>
    </row>
    <row r="489" spans="2:15">
      <c r="B489" s="3">
        <v>2</v>
      </c>
      <c r="C489" s="3">
        <v>3</v>
      </c>
      <c r="D489" s="3">
        <v>1035</v>
      </c>
      <c r="E489" s="3">
        <v>7</v>
      </c>
      <c r="F489" s="3">
        <v>1.8</v>
      </c>
      <c r="N489"/>
      <c r="O489"/>
    </row>
    <row r="490" spans="2:15">
      <c r="B490" s="3">
        <v>2</v>
      </c>
      <c r="C490" s="3">
        <v>3</v>
      </c>
      <c r="D490" s="3">
        <v>1369</v>
      </c>
      <c r="E490" s="3">
        <v>14</v>
      </c>
      <c r="F490" s="3">
        <v>1.69</v>
      </c>
      <c r="N490"/>
      <c r="O490"/>
    </row>
    <row r="491" spans="2:15">
      <c r="B491" s="3">
        <v>2</v>
      </c>
      <c r="C491" s="3">
        <v>3</v>
      </c>
      <c r="D491" s="3">
        <v>1007</v>
      </c>
      <c r="E491" s="3">
        <v>9</v>
      </c>
      <c r="F491" s="3">
        <v>2.29</v>
      </c>
      <c r="N491"/>
      <c r="O491"/>
    </row>
    <row r="492" spans="2:15">
      <c r="B492" s="3">
        <v>2</v>
      </c>
      <c r="C492" s="3">
        <v>3</v>
      </c>
      <c r="D492" s="3">
        <v>1374</v>
      </c>
      <c r="E492" s="3">
        <v>10</v>
      </c>
      <c r="F492" s="3">
        <v>0.23</v>
      </c>
      <c r="N492"/>
      <c r="O492"/>
    </row>
    <row r="493" spans="2:15">
      <c r="B493" s="3">
        <v>2</v>
      </c>
      <c r="C493" s="3">
        <v>3</v>
      </c>
      <c r="D493" s="3">
        <v>890</v>
      </c>
      <c r="E493" s="3">
        <v>13</v>
      </c>
      <c r="F493" s="3">
        <v>1.85</v>
      </c>
      <c r="N493"/>
      <c r="O493"/>
    </row>
    <row r="494" spans="2:15">
      <c r="B494" s="3">
        <v>2</v>
      </c>
      <c r="C494" s="3">
        <v>3</v>
      </c>
      <c r="D494" s="3">
        <v>2212</v>
      </c>
      <c r="E494" s="3">
        <v>12</v>
      </c>
      <c r="F494" s="3">
        <v>0</v>
      </c>
      <c r="N494"/>
      <c r="O494"/>
    </row>
    <row r="495" spans="2:15">
      <c r="B495" s="3">
        <v>2</v>
      </c>
      <c r="C495" s="3">
        <v>3</v>
      </c>
      <c r="D495" s="3">
        <v>1680</v>
      </c>
      <c r="E495" s="3">
        <v>7</v>
      </c>
      <c r="F495" s="3">
        <v>0.31</v>
      </c>
      <c r="N495"/>
      <c r="O495"/>
    </row>
    <row r="496" spans="2:15">
      <c r="B496" s="3">
        <v>2</v>
      </c>
      <c r="C496" s="3">
        <v>3</v>
      </c>
      <c r="D496" s="3">
        <v>1814</v>
      </c>
      <c r="E496" s="3">
        <v>19</v>
      </c>
      <c r="F496" s="3">
        <v>0</v>
      </c>
      <c r="N496"/>
      <c r="O496"/>
    </row>
    <row r="497" spans="2:15">
      <c r="B497" s="3">
        <v>2</v>
      </c>
      <c r="C497" s="3">
        <v>3</v>
      </c>
      <c r="D497" s="3">
        <v>1164</v>
      </c>
      <c r="E497" s="3">
        <v>9</v>
      </c>
      <c r="F497" s="3">
        <v>0.67</v>
      </c>
      <c r="N497"/>
      <c r="O497"/>
    </row>
    <row r="498" spans="2:15">
      <c r="B498" s="3">
        <v>2</v>
      </c>
      <c r="C498" s="3">
        <v>3</v>
      </c>
      <c r="D498" s="3">
        <v>656</v>
      </c>
      <c r="E498" s="3">
        <v>10</v>
      </c>
      <c r="F498" s="3">
        <v>1.72</v>
      </c>
      <c r="N498"/>
      <c r="O498"/>
    </row>
    <row r="499" spans="2:15">
      <c r="B499" s="3">
        <v>2</v>
      </c>
      <c r="C499" s="3">
        <v>3</v>
      </c>
      <c r="D499" s="3">
        <v>1559</v>
      </c>
      <c r="E499" s="3">
        <v>11</v>
      </c>
      <c r="F499" s="3">
        <v>1.04</v>
      </c>
      <c r="N499"/>
      <c r="O499"/>
    </row>
    <row r="500" spans="2:15">
      <c r="B500" s="3">
        <v>2</v>
      </c>
      <c r="C500" s="3">
        <v>3</v>
      </c>
      <c r="D500" s="3">
        <v>1296</v>
      </c>
      <c r="E500" s="3">
        <v>22</v>
      </c>
      <c r="F500" s="3">
        <v>1.3</v>
      </c>
      <c r="N500"/>
      <c r="O500"/>
    </row>
    <row r="501" spans="2:15">
      <c r="B501" s="3">
        <v>2</v>
      </c>
      <c r="C501" s="3">
        <v>3</v>
      </c>
      <c r="D501" s="3">
        <v>1272</v>
      </c>
      <c r="E501" s="3">
        <v>11</v>
      </c>
      <c r="F501" s="3">
        <v>0.85</v>
      </c>
      <c r="N501"/>
      <c r="O501"/>
    </row>
    <row r="502" spans="2:15">
      <c r="B502" s="3">
        <v>2</v>
      </c>
      <c r="C502" s="3">
        <v>3</v>
      </c>
      <c r="D502" s="3">
        <v>1177</v>
      </c>
      <c r="E502" s="3">
        <v>10</v>
      </c>
      <c r="F502" s="3">
        <v>1.08</v>
      </c>
      <c r="N502"/>
      <c r="O502"/>
    </row>
    <row r="503" spans="2:15">
      <c r="B503" s="3">
        <v>2</v>
      </c>
      <c r="C503" s="3">
        <v>3</v>
      </c>
      <c r="D503" s="3">
        <v>1032</v>
      </c>
      <c r="E503" s="3">
        <v>13</v>
      </c>
      <c r="F503" s="3">
        <v>2.0299999999999998</v>
      </c>
      <c r="N503"/>
      <c r="O503"/>
    </row>
    <row r="504" spans="2:15">
      <c r="B504" s="3">
        <v>2</v>
      </c>
      <c r="C504" s="3">
        <v>3</v>
      </c>
      <c r="D504" s="3">
        <v>1030</v>
      </c>
      <c r="E504" s="3">
        <v>8</v>
      </c>
      <c r="F504" s="3">
        <v>2.13</v>
      </c>
      <c r="N504"/>
      <c r="O504"/>
    </row>
    <row r="505" spans="2:15">
      <c r="B505" s="3">
        <v>2</v>
      </c>
      <c r="C505" s="3">
        <v>3</v>
      </c>
      <c r="D505" s="3">
        <v>1257</v>
      </c>
      <c r="E505" s="3">
        <v>12</v>
      </c>
      <c r="F505" s="3">
        <v>0.91</v>
      </c>
      <c r="N505"/>
      <c r="O505"/>
    </row>
    <row r="506" spans="2:15">
      <c r="B506" s="3">
        <v>2</v>
      </c>
      <c r="C506" s="3">
        <v>3</v>
      </c>
      <c r="D506" s="3">
        <v>357</v>
      </c>
      <c r="E506" s="3">
        <v>17</v>
      </c>
      <c r="F506" s="3">
        <v>0.4</v>
      </c>
      <c r="N506"/>
      <c r="O506"/>
    </row>
    <row r="507" spans="2:15">
      <c r="B507" s="3">
        <v>2</v>
      </c>
      <c r="C507" s="3">
        <v>3</v>
      </c>
      <c r="D507" s="3">
        <v>1206</v>
      </c>
      <c r="E507" s="3">
        <v>15</v>
      </c>
      <c r="F507" s="3">
        <v>2.36</v>
      </c>
      <c r="N507"/>
      <c r="O507"/>
    </row>
    <row r="508" spans="2:15">
      <c r="B508" s="3">
        <v>2</v>
      </c>
      <c r="C508" s="3">
        <v>3</v>
      </c>
      <c r="D508" s="3">
        <v>1227</v>
      </c>
      <c r="E508" s="3">
        <v>14</v>
      </c>
      <c r="F508" s="3">
        <v>1.58</v>
      </c>
      <c r="N508"/>
      <c r="O508"/>
    </row>
    <row r="509" spans="2:15">
      <c r="B509" s="3">
        <v>2</v>
      </c>
      <c r="C509" s="3">
        <v>3</v>
      </c>
      <c r="D509" s="3">
        <v>1430</v>
      </c>
      <c r="E509" s="3">
        <v>12</v>
      </c>
      <c r="F509" s="3">
        <v>0.91</v>
      </c>
      <c r="N509"/>
      <c r="O509"/>
    </row>
    <row r="510" spans="2:15">
      <c r="B510" s="3">
        <v>2</v>
      </c>
      <c r="C510" s="3">
        <v>3</v>
      </c>
      <c r="D510" s="3">
        <v>1756</v>
      </c>
      <c r="E510" s="3">
        <v>17</v>
      </c>
      <c r="F510" s="3">
        <v>1.1399999999999999</v>
      </c>
      <c r="N510"/>
      <c r="O510"/>
    </row>
    <row r="511" spans="2:15">
      <c r="B511" s="3">
        <v>2</v>
      </c>
      <c r="C511" s="3">
        <v>3</v>
      </c>
      <c r="D511" s="3">
        <v>1262</v>
      </c>
      <c r="E511" s="3">
        <v>8</v>
      </c>
      <c r="F511" s="3">
        <v>1.5</v>
      </c>
      <c r="N511"/>
      <c r="O511"/>
    </row>
    <row r="512" spans="2:15">
      <c r="B512" s="3">
        <v>2</v>
      </c>
      <c r="C512" s="3">
        <v>3</v>
      </c>
      <c r="D512" s="3">
        <v>1941</v>
      </c>
      <c r="E512" s="3">
        <v>12</v>
      </c>
      <c r="F512" s="3">
        <v>0.97</v>
      </c>
      <c r="N512"/>
      <c r="O512"/>
    </row>
    <row r="513" spans="2:15">
      <c r="B513" s="3">
        <v>2</v>
      </c>
      <c r="C513" s="3">
        <v>3</v>
      </c>
      <c r="D513" s="3">
        <v>731</v>
      </c>
      <c r="E513" s="3">
        <v>20</v>
      </c>
      <c r="F513" s="3">
        <v>0.78</v>
      </c>
      <c r="N513"/>
      <c r="O513"/>
    </row>
    <row r="514" spans="2:15">
      <c r="B514" s="3">
        <v>2</v>
      </c>
      <c r="C514" s="3">
        <v>3</v>
      </c>
      <c r="D514" s="3">
        <v>853</v>
      </c>
      <c r="E514" s="3">
        <v>26</v>
      </c>
      <c r="F514" s="3">
        <v>0.27</v>
      </c>
      <c r="N514"/>
      <c r="O514"/>
    </row>
    <row r="515" spans="2:15">
      <c r="B515" s="3">
        <v>2</v>
      </c>
      <c r="C515" s="3">
        <v>3</v>
      </c>
      <c r="D515" s="3">
        <v>1216</v>
      </c>
      <c r="E515" s="3">
        <v>20</v>
      </c>
      <c r="F515" s="3">
        <v>1</v>
      </c>
      <c r="N515"/>
      <c r="O515"/>
    </row>
    <row r="516" spans="2:15">
      <c r="B516" s="3">
        <v>2</v>
      </c>
      <c r="C516" s="3">
        <v>3</v>
      </c>
      <c r="D516" s="3">
        <v>1502</v>
      </c>
      <c r="E516" s="3">
        <v>13</v>
      </c>
      <c r="F516" s="3">
        <v>1.0900000000000001</v>
      </c>
      <c r="N516"/>
      <c r="O516"/>
    </row>
    <row r="517" spans="2:15">
      <c r="B517" s="3">
        <v>2</v>
      </c>
      <c r="C517" s="3">
        <v>3</v>
      </c>
      <c r="D517" s="3">
        <v>873</v>
      </c>
      <c r="E517" s="3">
        <v>11</v>
      </c>
      <c r="F517" s="3">
        <v>2.29</v>
      </c>
      <c r="N517"/>
      <c r="O517"/>
    </row>
    <row r="518" spans="2:15">
      <c r="B518" s="3">
        <v>2</v>
      </c>
      <c r="C518" s="3">
        <v>3</v>
      </c>
      <c r="D518" s="3">
        <v>848</v>
      </c>
      <c r="E518" s="3">
        <v>15</v>
      </c>
      <c r="F518" s="3">
        <v>1.95</v>
      </c>
      <c r="N518"/>
      <c r="O518"/>
    </row>
    <row r="519" spans="2:15">
      <c r="B519" s="3">
        <v>2</v>
      </c>
      <c r="C519" s="3">
        <v>3</v>
      </c>
      <c r="D519" s="3">
        <v>1324</v>
      </c>
      <c r="E519" s="3">
        <v>15</v>
      </c>
      <c r="F519" s="3">
        <v>1.28</v>
      </c>
      <c r="N519"/>
      <c r="O519"/>
    </row>
    <row r="520" spans="2:15">
      <c r="B520" s="3">
        <v>2</v>
      </c>
      <c r="C520" s="3">
        <v>3</v>
      </c>
      <c r="D520" s="3">
        <v>861</v>
      </c>
      <c r="E520" s="3">
        <v>16</v>
      </c>
      <c r="F520" s="3">
        <v>1.07</v>
      </c>
      <c r="N520"/>
      <c r="O520"/>
    </row>
    <row r="521" spans="2:15">
      <c r="B521" s="3">
        <v>2</v>
      </c>
      <c r="C521" s="3">
        <v>3</v>
      </c>
      <c r="D521" s="3">
        <v>745</v>
      </c>
      <c r="E521" s="3">
        <v>19</v>
      </c>
      <c r="F521" s="3">
        <v>2.77</v>
      </c>
      <c r="N521"/>
      <c r="O521"/>
    </row>
    <row r="522" spans="2:15">
      <c r="B522" s="3">
        <v>2</v>
      </c>
      <c r="C522" s="3">
        <v>3</v>
      </c>
      <c r="D522" s="3">
        <v>724</v>
      </c>
      <c r="E522" s="3">
        <v>7</v>
      </c>
      <c r="F522" s="3">
        <v>1.1599999999999999</v>
      </c>
      <c r="N522"/>
      <c r="O522"/>
    </row>
    <row r="523" spans="2:15">
      <c r="B523" s="3">
        <v>2</v>
      </c>
      <c r="C523" s="3">
        <v>3</v>
      </c>
      <c r="D523" s="3">
        <v>916</v>
      </c>
      <c r="E523" s="3">
        <v>9</v>
      </c>
      <c r="F523" s="3">
        <v>2.15</v>
      </c>
      <c r="N523"/>
      <c r="O523"/>
    </row>
    <row r="524" spans="2:15">
      <c r="B524" s="3">
        <v>2</v>
      </c>
      <c r="C524" s="3">
        <v>3</v>
      </c>
      <c r="D524" s="3">
        <v>769</v>
      </c>
      <c r="E524" s="3">
        <v>21</v>
      </c>
      <c r="F524" s="3">
        <v>0.74</v>
      </c>
      <c r="N524"/>
      <c r="O524"/>
    </row>
    <row r="525" spans="2:15">
      <c r="B525" s="3">
        <v>2</v>
      </c>
      <c r="C525" s="3">
        <v>3</v>
      </c>
      <c r="D525" s="3">
        <v>1216</v>
      </c>
      <c r="E525" s="3">
        <v>7</v>
      </c>
      <c r="F525" s="3">
        <v>0</v>
      </c>
      <c r="N525"/>
      <c r="O525"/>
    </row>
    <row r="526" spans="2:15">
      <c r="B526" s="3">
        <v>2</v>
      </c>
      <c r="C526" s="3">
        <v>3</v>
      </c>
      <c r="D526" s="3">
        <v>916</v>
      </c>
      <c r="E526" s="3">
        <v>20</v>
      </c>
      <c r="F526" s="3">
        <v>1.08</v>
      </c>
      <c r="N526"/>
      <c r="O526"/>
    </row>
    <row r="527" spans="2:15">
      <c r="B527" s="3">
        <v>2</v>
      </c>
      <c r="C527" s="3">
        <v>3</v>
      </c>
      <c r="D527" s="3">
        <v>1124</v>
      </c>
      <c r="E527" s="3">
        <v>4</v>
      </c>
      <c r="F527" s="3">
        <v>1.17</v>
      </c>
      <c r="N527"/>
      <c r="O527"/>
    </row>
    <row r="528" spans="2:15">
      <c r="B528" s="3">
        <v>2</v>
      </c>
      <c r="C528" s="3">
        <v>3</v>
      </c>
      <c r="D528" s="3">
        <v>1488</v>
      </c>
      <c r="E528" s="3">
        <v>17</v>
      </c>
      <c r="F528" s="3">
        <v>0</v>
      </c>
      <c r="N528"/>
      <c r="O528"/>
    </row>
    <row r="529" spans="2:15">
      <c r="B529" s="3">
        <v>2</v>
      </c>
      <c r="C529" s="3">
        <v>3</v>
      </c>
      <c r="D529" s="3">
        <v>791</v>
      </c>
      <c r="E529" s="3">
        <v>15</v>
      </c>
      <c r="F529" s="3">
        <v>1.57</v>
      </c>
      <c r="N529"/>
      <c r="O529"/>
    </row>
    <row r="530" spans="2:15">
      <c r="B530" s="3">
        <v>2</v>
      </c>
      <c r="C530" s="3">
        <v>3</v>
      </c>
      <c r="D530" s="3">
        <v>606</v>
      </c>
      <c r="E530" s="3">
        <v>14</v>
      </c>
      <c r="F530" s="3">
        <v>1.03</v>
      </c>
      <c r="N530"/>
      <c r="O530"/>
    </row>
    <row r="531" spans="2:15">
      <c r="B531" s="3">
        <v>2</v>
      </c>
      <c r="C531" s="3">
        <v>3</v>
      </c>
      <c r="D531" s="3">
        <v>1136</v>
      </c>
      <c r="E531" s="3">
        <v>14</v>
      </c>
      <c r="F531" s="3">
        <v>0.8</v>
      </c>
      <c r="N531"/>
      <c r="O531"/>
    </row>
    <row r="532" spans="2:15">
      <c r="B532" s="3">
        <v>2</v>
      </c>
      <c r="C532" s="3">
        <v>3</v>
      </c>
      <c r="D532" s="3">
        <v>1087</v>
      </c>
      <c r="E532" s="3">
        <v>23</v>
      </c>
      <c r="F532" s="3">
        <v>0.94</v>
      </c>
      <c r="N532"/>
      <c r="O532"/>
    </row>
    <row r="533" spans="2:15">
      <c r="B533" s="3">
        <v>2</v>
      </c>
      <c r="C533" s="3">
        <v>3</v>
      </c>
      <c r="D533" s="3">
        <v>1709</v>
      </c>
      <c r="E533" s="3">
        <v>18</v>
      </c>
      <c r="F533" s="3">
        <v>1</v>
      </c>
      <c r="N533"/>
      <c r="O533"/>
    </row>
    <row r="534" spans="2:15">
      <c r="B534" s="3">
        <v>2</v>
      </c>
      <c r="C534" s="3">
        <v>3</v>
      </c>
      <c r="D534" s="3">
        <v>718</v>
      </c>
      <c r="E534" s="3">
        <v>15</v>
      </c>
      <c r="F534" s="3">
        <v>1.75</v>
      </c>
      <c r="N534"/>
      <c r="O534"/>
    </row>
    <row r="535" spans="2:15">
      <c r="B535" s="3">
        <v>2</v>
      </c>
      <c r="C535" s="3">
        <v>3</v>
      </c>
      <c r="D535" s="3">
        <v>989</v>
      </c>
      <c r="E535" s="3">
        <v>7</v>
      </c>
      <c r="F535" s="3">
        <v>0.91</v>
      </c>
      <c r="N535"/>
      <c r="O535"/>
    </row>
    <row r="536" spans="2:15">
      <c r="B536" s="3">
        <v>2</v>
      </c>
      <c r="C536" s="3">
        <v>3</v>
      </c>
      <c r="D536" s="3">
        <v>1426</v>
      </c>
      <c r="E536" s="3">
        <v>27</v>
      </c>
      <c r="F536" s="3">
        <v>0.21</v>
      </c>
      <c r="N536"/>
      <c r="O536"/>
    </row>
    <row r="537" spans="2:15">
      <c r="B537" s="3">
        <v>2</v>
      </c>
      <c r="C537" s="3">
        <v>3</v>
      </c>
      <c r="D537" s="3">
        <v>2023</v>
      </c>
      <c r="E537" s="3">
        <v>9</v>
      </c>
      <c r="F537" s="3">
        <v>1</v>
      </c>
      <c r="N537"/>
      <c r="O537"/>
    </row>
    <row r="538" spans="2:15">
      <c r="B538" s="3">
        <v>2</v>
      </c>
      <c r="C538" s="3">
        <v>3</v>
      </c>
      <c r="D538" s="3">
        <v>1601</v>
      </c>
      <c r="E538" s="3">
        <v>12</v>
      </c>
      <c r="F538" s="3">
        <v>0.89</v>
      </c>
      <c r="N538"/>
      <c r="O538"/>
    </row>
    <row r="539" spans="2:15">
      <c r="B539" s="3">
        <v>2</v>
      </c>
      <c r="C539" s="3">
        <v>3</v>
      </c>
      <c r="D539" s="3">
        <v>1143</v>
      </c>
      <c r="E539" s="3">
        <v>7</v>
      </c>
      <c r="F539" s="3">
        <v>1.2</v>
      </c>
      <c r="N539"/>
      <c r="O539"/>
    </row>
    <row r="540" spans="2:15">
      <c r="B540" s="3">
        <v>2</v>
      </c>
      <c r="C540" s="3">
        <v>3</v>
      </c>
      <c r="D540" s="3">
        <v>1927</v>
      </c>
      <c r="E540" s="3">
        <v>18</v>
      </c>
      <c r="F540" s="3">
        <v>0.63</v>
      </c>
      <c r="N540"/>
      <c r="O540"/>
    </row>
    <row r="541" spans="2:15">
      <c r="B541" s="3">
        <v>2</v>
      </c>
      <c r="C541" s="3">
        <v>3</v>
      </c>
      <c r="D541" s="3">
        <v>1745</v>
      </c>
      <c r="E541" s="3">
        <v>8</v>
      </c>
      <c r="F541" s="3">
        <v>0.5</v>
      </c>
      <c r="N541"/>
      <c r="O541"/>
    </row>
    <row r="542" spans="2:15">
      <c r="B542" s="3">
        <v>2</v>
      </c>
      <c r="C542" s="3">
        <v>3</v>
      </c>
      <c r="D542" s="3">
        <v>1488</v>
      </c>
      <c r="E542" s="3">
        <v>15</v>
      </c>
      <c r="F542" s="3">
        <v>2.62</v>
      </c>
      <c r="N542"/>
      <c r="O542"/>
    </row>
    <row r="543" spans="2:15">
      <c r="B543" s="3">
        <v>2</v>
      </c>
      <c r="C543" s="3">
        <v>3</v>
      </c>
      <c r="D543" s="3">
        <v>1369</v>
      </c>
      <c r="E543" s="3">
        <v>14</v>
      </c>
      <c r="F543" s="3">
        <v>0.97</v>
      </c>
      <c r="N543"/>
      <c r="O543"/>
    </row>
    <row r="544" spans="2:15">
      <c r="B544" s="3">
        <v>2</v>
      </c>
      <c r="C544" s="3">
        <v>3</v>
      </c>
      <c r="D544" s="3">
        <v>836</v>
      </c>
      <c r="E544" s="3">
        <v>8</v>
      </c>
      <c r="F544" s="3">
        <v>1.69</v>
      </c>
      <c r="N544"/>
      <c r="O544"/>
    </row>
    <row r="545" spans="2:15">
      <c r="B545" s="3">
        <v>2</v>
      </c>
      <c r="C545" s="3">
        <v>3</v>
      </c>
      <c r="D545" s="3">
        <v>994</v>
      </c>
      <c r="E545" s="3">
        <v>13</v>
      </c>
      <c r="F545" s="3">
        <v>2.31</v>
      </c>
      <c r="N545"/>
      <c r="O545"/>
    </row>
    <row r="546" spans="2:15">
      <c r="B546" s="3">
        <v>2</v>
      </c>
      <c r="C546" s="3">
        <v>3</v>
      </c>
      <c r="D546" s="3">
        <v>1079</v>
      </c>
      <c r="E546" s="3">
        <v>18</v>
      </c>
      <c r="F546" s="3">
        <v>1.32</v>
      </c>
      <c r="N546"/>
      <c r="O546"/>
    </row>
    <row r="547" spans="2:15">
      <c r="B547" s="3">
        <v>2</v>
      </c>
      <c r="C547" s="3">
        <v>3</v>
      </c>
      <c r="D547" s="3">
        <v>1288</v>
      </c>
      <c r="E547" s="3">
        <v>22</v>
      </c>
      <c r="F547" s="3">
        <v>2.42</v>
      </c>
      <c r="N547"/>
      <c r="O547"/>
    </row>
    <row r="548" spans="2:15">
      <c r="B548" s="3">
        <v>2</v>
      </c>
      <c r="C548" s="3">
        <v>3</v>
      </c>
      <c r="D548" s="3">
        <v>951</v>
      </c>
      <c r="E548" s="3">
        <v>15</v>
      </c>
      <c r="F548" s="3">
        <v>1.1499999999999999</v>
      </c>
      <c r="N548"/>
      <c r="O548"/>
    </row>
    <row r="549" spans="2:15">
      <c r="B549" s="3">
        <v>2</v>
      </c>
      <c r="C549" s="3">
        <v>3</v>
      </c>
      <c r="D549" s="3">
        <v>1803</v>
      </c>
      <c r="E549" s="3">
        <v>18</v>
      </c>
      <c r="F549" s="3">
        <v>1.42</v>
      </c>
      <c r="N549"/>
      <c r="O549"/>
    </row>
    <row r="550" spans="2:15">
      <c r="B550" s="3">
        <v>2</v>
      </c>
      <c r="C550" s="3">
        <v>3</v>
      </c>
      <c r="D550" s="3">
        <v>1583</v>
      </c>
      <c r="E550" s="3">
        <v>15</v>
      </c>
      <c r="F550" s="3">
        <v>0.23</v>
      </c>
      <c r="N550"/>
      <c r="O550"/>
    </row>
    <row r="551" spans="2:15">
      <c r="B551" s="3">
        <v>2</v>
      </c>
      <c r="C551" s="3">
        <v>3</v>
      </c>
      <c r="D551" s="3">
        <v>1062</v>
      </c>
      <c r="E551" s="3">
        <v>4</v>
      </c>
      <c r="F551" s="3">
        <v>0.45</v>
      </c>
      <c r="N551"/>
      <c r="O551"/>
    </row>
    <row r="552" spans="2:15">
      <c r="B552" s="3">
        <v>2</v>
      </c>
      <c r="C552" s="3">
        <v>3</v>
      </c>
      <c r="D552" s="3">
        <v>1677</v>
      </c>
      <c r="E552" s="3">
        <v>10</v>
      </c>
      <c r="F552" s="3">
        <v>1.35</v>
      </c>
      <c r="N552"/>
      <c r="O552"/>
    </row>
    <row r="553" spans="2:15">
      <c r="B553" s="3">
        <v>2</v>
      </c>
      <c r="C553" s="3">
        <v>3</v>
      </c>
      <c r="D553" s="3">
        <v>1558</v>
      </c>
      <c r="E553" s="3">
        <v>14</v>
      </c>
      <c r="F553" s="3">
        <v>0.74</v>
      </c>
      <c r="N553"/>
      <c r="O553"/>
    </row>
    <row r="554" spans="2:15">
      <c r="B554" s="3">
        <v>2</v>
      </c>
      <c r="C554" s="3">
        <v>3</v>
      </c>
      <c r="D554" s="3">
        <v>1443</v>
      </c>
      <c r="E554" s="3">
        <v>9</v>
      </c>
      <c r="F554" s="3">
        <v>0.36</v>
      </c>
      <c r="N554"/>
      <c r="O554"/>
    </row>
    <row r="555" spans="2:15">
      <c r="B555" s="3">
        <v>2</v>
      </c>
      <c r="C555" s="3">
        <v>3</v>
      </c>
      <c r="D555" s="3">
        <v>1392</v>
      </c>
      <c r="E555" s="3">
        <v>8</v>
      </c>
      <c r="F555" s="3">
        <v>0.48</v>
      </c>
      <c r="N555"/>
      <c r="O555"/>
    </row>
    <row r="556" spans="2:15">
      <c r="B556" s="3">
        <v>2</v>
      </c>
      <c r="C556" s="3">
        <v>3</v>
      </c>
      <c r="D556" s="3">
        <v>1215</v>
      </c>
      <c r="E556" s="3">
        <v>11</v>
      </c>
      <c r="F556" s="3">
        <v>1.66</v>
      </c>
      <c r="N556"/>
      <c r="O556"/>
    </row>
    <row r="557" spans="2:15">
      <c r="B557" s="3">
        <v>2</v>
      </c>
      <c r="C557" s="3">
        <v>3</v>
      </c>
      <c r="D557" s="3">
        <v>1060</v>
      </c>
      <c r="E557" s="3">
        <v>15</v>
      </c>
      <c r="F557" s="3">
        <v>1.3</v>
      </c>
      <c r="N557"/>
      <c r="O557"/>
    </row>
    <row r="558" spans="2:15">
      <c r="B558" s="3">
        <v>2</v>
      </c>
      <c r="C558" s="3">
        <v>3</v>
      </c>
      <c r="D558" s="3">
        <v>1491</v>
      </c>
      <c r="E558" s="3">
        <v>15</v>
      </c>
      <c r="F558" s="3">
        <v>1.46</v>
      </c>
      <c r="N558"/>
      <c r="O558"/>
    </row>
    <row r="559" spans="2:15">
      <c r="B559" s="3">
        <v>2</v>
      </c>
      <c r="C559" s="3">
        <v>3</v>
      </c>
      <c r="D559" s="3">
        <v>1837</v>
      </c>
      <c r="E559" s="3">
        <v>19</v>
      </c>
      <c r="F559" s="3">
        <v>0.6</v>
      </c>
      <c r="N559"/>
      <c r="O559"/>
    </row>
    <row r="560" spans="2:15">
      <c r="B560" s="3">
        <v>2</v>
      </c>
      <c r="C560" s="3">
        <v>3</v>
      </c>
      <c r="D560" s="3">
        <v>828</v>
      </c>
      <c r="E560" s="3">
        <v>8</v>
      </c>
      <c r="F560" s="3">
        <v>1.81</v>
      </c>
      <c r="N560"/>
      <c r="O560"/>
    </row>
    <row r="561" spans="2:15">
      <c r="B561" s="3">
        <v>2</v>
      </c>
      <c r="C561" s="3">
        <v>3</v>
      </c>
      <c r="D561" s="3">
        <v>1370</v>
      </c>
      <c r="E561" s="3">
        <v>18</v>
      </c>
      <c r="F561" s="3">
        <v>1.55</v>
      </c>
      <c r="N561"/>
      <c r="O561"/>
    </row>
    <row r="562" spans="2:15">
      <c r="B562" s="3">
        <v>2</v>
      </c>
      <c r="C562" s="3">
        <v>3</v>
      </c>
      <c r="D562" s="3">
        <v>800</v>
      </c>
      <c r="E562" s="3">
        <v>18</v>
      </c>
      <c r="F562" s="3">
        <v>0.32</v>
      </c>
      <c r="N562"/>
      <c r="O562"/>
    </row>
    <row r="563" spans="2:15">
      <c r="B563" s="3">
        <v>2</v>
      </c>
      <c r="C563" s="3">
        <v>3</v>
      </c>
      <c r="D563" s="3">
        <v>1645</v>
      </c>
      <c r="E563" s="3">
        <v>10</v>
      </c>
      <c r="F563" s="3">
        <v>1.31</v>
      </c>
      <c r="N563"/>
      <c r="O563"/>
    </row>
    <row r="564" spans="2:15">
      <c r="B564" s="3">
        <v>2</v>
      </c>
      <c r="C564" s="3">
        <v>3</v>
      </c>
      <c r="D564" s="3">
        <v>1113</v>
      </c>
      <c r="E564" s="3">
        <v>25</v>
      </c>
      <c r="F564" s="3">
        <v>0.59</v>
      </c>
      <c r="N564"/>
      <c r="O564"/>
    </row>
    <row r="565" spans="2:15">
      <c r="B565" s="3">
        <v>2</v>
      </c>
      <c r="C565" s="3">
        <v>3</v>
      </c>
      <c r="D565" s="3">
        <v>1537</v>
      </c>
      <c r="E565" s="3">
        <v>21</v>
      </c>
      <c r="F565" s="3">
        <v>1.28</v>
      </c>
      <c r="N565"/>
      <c r="O565"/>
    </row>
    <row r="566" spans="2:15">
      <c r="B566" s="3">
        <v>2</v>
      </c>
      <c r="C566" s="3">
        <v>3</v>
      </c>
      <c r="D566" s="3">
        <v>1380</v>
      </c>
      <c r="E566" s="3">
        <v>24</v>
      </c>
      <c r="F566" s="3">
        <v>1.54</v>
      </c>
      <c r="N566"/>
      <c r="O566"/>
    </row>
    <row r="567" spans="2:15">
      <c r="B567" s="3">
        <v>2</v>
      </c>
      <c r="C567" s="3">
        <v>3</v>
      </c>
      <c r="D567" s="3">
        <v>1113</v>
      </c>
      <c r="E567" s="3">
        <v>2</v>
      </c>
      <c r="F567" s="3">
        <v>1.76</v>
      </c>
      <c r="N567"/>
      <c r="O567"/>
    </row>
    <row r="568" spans="2:15">
      <c r="B568" s="3">
        <v>2</v>
      </c>
      <c r="C568" s="3">
        <v>3</v>
      </c>
      <c r="D568" s="3">
        <v>822</v>
      </c>
      <c r="E568" s="3">
        <v>5</v>
      </c>
      <c r="F568" s="3">
        <v>1.06</v>
      </c>
      <c r="N568"/>
      <c r="O568"/>
    </row>
    <row r="569" spans="2:15">
      <c r="B569" s="3">
        <v>2</v>
      </c>
      <c r="C569" s="3">
        <v>3</v>
      </c>
      <c r="D569" s="3">
        <v>1540</v>
      </c>
      <c r="E569" s="3">
        <v>17</v>
      </c>
      <c r="F569" s="3">
        <v>1.0900000000000001</v>
      </c>
      <c r="N569"/>
      <c r="O569"/>
    </row>
    <row r="570" spans="2:15">
      <c r="B570" s="3">
        <v>2</v>
      </c>
      <c r="C570" s="3">
        <v>3</v>
      </c>
      <c r="D570" s="3">
        <v>1102</v>
      </c>
      <c r="E570" s="3">
        <v>20</v>
      </c>
      <c r="F570" s="3">
        <v>1.01</v>
      </c>
      <c r="N570"/>
      <c r="O570"/>
    </row>
    <row r="571" spans="2:15">
      <c r="B571" s="3">
        <v>2</v>
      </c>
      <c r="C571" s="3">
        <v>3</v>
      </c>
      <c r="D571" s="3">
        <v>1644</v>
      </c>
      <c r="E571" s="3">
        <v>13</v>
      </c>
      <c r="F571" s="3">
        <v>1.87</v>
      </c>
      <c r="N571"/>
      <c r="O571"/>
    </row>
    <row r="572" spans="2:15">
      <c r="B572" s="3">
        <v>2</v>
      </c>
      <c r="C572" s="3">
        <v>3</v>
      </c>
      <c r="D572" s="3">
        <v>1729</v>
      </c>
      <c r="E572" s="3">
        <v>11</v>
      </c>
      <c r="F572" s="3">
        <v>1.27</v>
      </c>
      <c r="N572"/>
      <c r="O572"/>
    </row>
    <row r="573" spans="2:15">
      <c r="B573" s="3">
        <v>2</v>
      </c>
      <c r="C573" s="3">
        <v>3</v>
      </c>
      <c r="D573" s="3">
        <v>1033</v>
      </c>
      <c r="E573" s="3">
        <v>8</v>
      </c>
      <c r="F573" s="3">
        <v>1.87</v>
      </c>
      <c r="N573"/>
      <c r="O573"/>
    </row>
    <row r="574" spans="2:15">
      <c r="B574" s="3">
        <v>2</v>
      </c>
      <c r="C574" s="3">
        <v>3</v>
      </c>
      <c r="D574" s="3">
        <v>1322</v>
      </c>
      <c r="E574" s="3">
        <v>11</v>
      </c>
      <c r="F574" s="3">
        <v>1.6</v>
      </c>
      <c r="N574"/>
      <c r="O574"/>
    </row>
    <row r="575" spans="2:15">
      <c r="B575" s="3">
        <v>2</v>
      </c>
      <c r="C575" s="3">
        <v>3</v>
      </c>
      <c r="D575" s="3">
        <v>1146</v>
      </c>
      <c r="E575" s="3">
        <v>4</v>
      </c>
      <c r="F575" s="3">
        <v>2.1</v>
      </c>
      <c r="N575"/>
      <c r="O575"/>
    </row>
    <row r="576" spans="2:15">
      <c r="B576" s="3">
        <v>2</v>
      </c>
      <c r="C576" s="3">
        <v>3</v>
      </c>
      <c r="D576" s="3">
        <v>1393</v>
      </c>
      <c r="E576" s="3">
        <v>9</v>
      </c>
      <c r="F576" s="3">
        <v>1.1200000000000001</v>
      </c>
      <c r="N576"/>
      <c r="O576"/>
    </row>
    <row r="577" spans="2:15">
      <c r="B577" s="3">
        <v>2</v>
      </c>
      <c r="C577" s="3">
        <v>3</v>
      </c>
      <c r="D577" s="3">
        <v>944</v>
      </c>
      <c r="E577" s="3">
        <v>7</v>
      </c>
      <c r="F577" s="3">
        <v>1.91</v>
      </c>
      <c r="N577"/>
      <c r="O577"/>
    </row>
    <row r="578" spans="2:15">
      <c r="B578" s="3">
        <v>2</v>
      </c>
      <c r="C578" s="3">
        <v>3</v>
      </c>
      <c r="D578" s="3">
        <v>548</v>
      </c>
      <c r="E578" s="3">
        <v>7</v>
      </c>
      <c r="F578" s="3">
        <v>1.95</v>
      </c>
      <c r="N578"/>
      <c r="O578"/>
    </row>
    <row r="579" spans="2:15">
      <c r="B579" s="3">
        <v>2</v>
      </c>
      <c r="C579" s="3">
        <v>3</v>
      </c>
      <c r="D579" s="3">
        <v>845</v>
      </c>
      <c r="E579" s="3">
        <v>9</v>
      </c>
      <c r="F579" s="3">
        <v>1.93</v>
      </c>
      <c r="N579"/>
      <c r="O579"/>
    </row>
    <row r="580" spans="2:15">
      <c r="B580" s="3">
        <v>2</v>
      </c>
      <c r="C580" s="3">
        <v>3</v>
      </c>
      <c r="D580" s="3">
        <v>729</v>
      </c>
      <c r="E580" s="3">
        <v>9</v>
      </c>
      <c r="F580" s="3">
        <v>1.92</v>
      </c>
      <c r="N580"/>
      <c r="O580"/>
    </row>
    <row r="581" spans="2:15">
      <c r="B581" s="3">
        <v>2</v>
      </c>
      <c r="C581" s="3">
        <v>3</v>
      </c>
      <c r="D581" s="3">
        <v>1376</v>
      </c>
      <c r="E581" s="3">
        <v>16</v>
      </c>
      <c r="F581" s="3">
        <v>0</v>
      </c>
      <c r="N581"/>
      <c r="O581"/>
    </row>
    <row r="582" spans="2:15">
      <c r="B582" s="3">
        <v>2</v>
      </c>
      <c r="C582" s="3">
        <v>3</v>
      </c>
      <c r="D582" s="3">
        <v>1116</v>
      </c>
      <c r="E582" s="3">
        <v>12</v>
      </c>
      <c r="F582" s="3">
        <v>2.09</v>
      </c>
      <c r="N582"/>
      <c r="O582"/>
    </row>
    <row r="583" spans="2:15">
      <c r="B583" s="3">
        <v>2</v>
      </c>
      <c r="C583" s="3">
        <v>3</v>
      </c>
      <c r="D583" s="3">
        <v>1689</v>
      </c>
      <c r="E583" s="3">
        <v>10</v>
      </c>
      <c r="F583" s="3">
        <v>0.93</v>
      </c>
      <c r="N583"/>
      <c r="O583"/>
    </row>
    <row r="584" spans="2:15">
      <c r="B584" s="3">
        <v>2</v>
      </c>
      <c r="C584" s="3">
        <v>3</v>
      </c>
      <c r="D584" s="3">
        <v>1232</v>
      </c>
      <c r="E584" s="3">
        <v>8</v>
      </c>
      <c r="F584" s="3">
        <v>1.32</v>
      </c>
      <c r="N584"/>
      <c r="O584"/>
    </row>
    <row r="585" spans="2:15">
      <c r="B585" s="3">
        <v>2</v>
      </c>
      <c r="C585" s="3">
        <v>3</v>
      </c>
      <c r="D585" s="3">
        <v>816</v>
      </c>
      <c r="E585" s="3">
        <v>3</v>
      </c>
      <c r="F585" s="3">
        <v>2.15</v>
      </c>
      <c r="N585"/>
      <c r="O585"/>
    </row>
    <row r="586" spans="2:15">
      <c r="B586" s="3">
        <v>2</v>
      </c>
      <c r="C586" s="3">
        <v>3</v>
      </c>
      <c r="D586" s="3">
        <v>1503</v>
      </c>
      <c r="E586" s="3">
        <v>16</v>
      </c>
      <c r="F586" s="3">
        <v>1.6</v>
      </c>
      <c r="N586"/>
      <c r="O586"/>
    </row>
    <row r="587" spans="2:15">
      <c r="B587" s="3">
        <v>2</v>
      </c>
      <c r="C587" s="3">
        <v>3</v>
      </c>
      <c r="D587" s="3">
        <v>1393</v>
      </c>
      <c r="E587" s="3">
        <v>20</v>
      </c>
      <c r="F587" s="3">
        <v>0.33</v>
      </c>
      <c r="N587"/>
      <c r="O587"/>
    </row>
    <row r="588" spans="2:15">
      <c r="B588" s="3">
        <v>2</v>
      </c>
      <c r="C588" s="3">
        <v>3</v>
      </c>
      <c r="D588" s="3">
        <v>1349</v>
      </c>
      <c r="E588" s="3">
        <v>13</v>
      </c>
      <c r="F588" s="3">
        <v>1.42</v>
      </c>
      <c r="N588"/>
      <c r="O588"/>
    </row>
    <row r="589" spans="2:15">
      <c r="B589" s="3">
        <v>2</v>
      </c>
      <c r="C589" s="3">
        <v>3</v>
      </c>
      <c r="D589" s="3">
        <v>775</v>
      </c>
      <c r="E589" s="3">
        <v>16</v>
      </c>
      <c r="F589" s="3">
        <v>1.34</v>
      </c>
      <c r="N589"/>
      <c r="O589"/>
    </row>
    <row r="590" spans="2:15">
      <c r="B590" s="3">
        <v>2</v>
      </c>
      <c r="C590" s="3">
        <v>3</v>
      </c>
      <c r="D590" s="3">
        <v>1155</v>
      </c>
      <c r="E590" s="3">
        <v>3</v>
      </c>
      <c r="F590" s="3">
        <v>2.46</v>
      </c>
      <c r="N590"/>
      <c r="O590"/>
    </row>
    <row r="591" spans="2:15">
      <c r="B591" s="3">
        <v>2</v>
      </c>
      <c r="C591" s="3">
        <v>3</v>
      </c>
      <c r="D591" s="3">
        <v>1332</v>
      </c>
      <c r="E591" s="3">
        <v>14</v>
      </c>
      <c r="F591" s="3">
        <v>0.4</v>
      </c>
      <c r="N591"/>
      <c r="O591"/>
    </row>
    <row r="592" spans="2:15">
      <c r="B592" s="3">
        <v>2</v>
      </c>
      <c r="C592" s="3">
        <v>3</v>
      </c>
      <c r="D592" s="3">
        <v>1251</v>
      </c>
      <c r="E592" s="3">
        <v>8</v>
      </c>
      <c r="F592" s="3">
        <v>1.4</v>
      </c>
      <c r="N592"/>
      <c r="O592"/>
    </row>
    <row r="593" spans="2:15">
      <c r="B593" s="3">
        <v>2</v>
      </c>
      <c r="C593" s="3">
        <v>3</v>
      </c>
      <c r="D593" s="3">
        <v>1342</v>
      </c>
      <c r="E593" s="3">
        <v>4</v>
      </c>
      <c r="F593" s="3">
        <v>1.23</v>
      </c>
      <c r="N593"/>
      <c r="O593"/>
    </row>
    <row r="594" spans="2:15">
      <c r="B594" s="3">
        <v>2</v>
      </c>
      <c r="C594" s="3">
        <v>3</v>
      </c>
      <c r="D594" s="3">
        <v>1397</v>
      </c>
      <c r="E594" s="3">
        <v>13</v>
      </c>
      <c r="F594" s="3">
        <v>0</v>
      </c>
      <c r="N594"/>
      <c r="O594"/>
    </row>
    <row r="595" spans="2:15">
      <c r="B595" s="3">
        <v>2</v>
      </c>
      <c r="C595" s="3">
        <v>3</v>
      </c>
      <c r="D595" s="3">
        <v>794</v>
      </c>
      <c r="E595" s="3">
        <v>11</v>
      </c>
      <c r="F595" s="3">
        <v>1.72</v>
      </c>
      <c r="N595"/>
      <c r="O595"/>
    </row>
    <row r="596" spans="2:15">
      <c r="B596" s="3">
        <v>2</v>
      </c>
      <c r="C596" s="3">
        <v>3</v>
      </c>
      <c r="D596" s="3">
        <v>1102</v>
      </c>
      <c r="E596" s="3">
        <v>12</v>
      </c>
      <c r="F596" s="3">
        <v>1.82</v>
      </c>
      <c r="N596"/>
      <c r="O596"/>
    </row>
    <row r="597" spans="2:15">
      <c r="B597" s="3">
        <v>2</v>
      </c>
      <c r="C597" s="3">
        <v>3</v>
      </c>
      <c r="D597" s="3">
        <v>405</v>
      </c>
      <c r="E597" s="3">
        <v>11</v>
      </c>
      <c r="F597" s="3">
        <v>1.84</v>
      </c>
      <c r="N597"/>
      <c r="O597"/>
    </row>
    <row r="598" spans="2:15">
      <c r="B598" s="3">
        <v>2</v>
      </c>
      <c r="C598" s="3">
        <v>3</v>
      </c>
      <c r="D598" s="3">
        <v>904</v>
      </c>
      <c r="E598" s="3">
        <v>13</v>
      </c>
      <c r="F598" s="3">
        <v>1.25</v>
      </c>
      <c r="N598"/>
      <c r="O598"/>
    </row>
    <row r="599" spans="2:15">
      <c r="B599" s="3">
        <v>2</v>
      </c>
      <c r="C599" s="3">
        <v>3</v>
      </c>
      <c r="D599" s="3">
        <v>1228</v>
      </c>
      <c r="E599" s="3">
        <v>18</v>
      </c>
      <c r="F599" s="3">
        <v>0.44</v>
      </c>
      <c r="N599"/>
      <c r="O599"/>
    </row>
    <row r="600" spans="2:15">
      <c r="B600" s="3">
        <v>2</v>
      </c>
      <c r="C600" s="3">
        <v>3</v>
      </c>
      <c r="D600" s="3">
        <v>1299</v>
      </c>
      <c r="E600" s="3">
        <v>24</v>
      </c>
      <c r="F600" s="3">
        <v>1.4</v>
      </c>
      <c r="N600"/>
      <c r="O600"/>
    </row>
    <row r="601" spans="2:15">
      <c r="B601" s="3">
        <v>2</v>
      </c>
      <c r="C601" s="3">
        <v>3</v>
      </c>
      <c r="D601" s="3">
        <v>1311</v>
      </c>
      <c r="E601" s="3">
        <v>14</v>
      </c>
      <c r="F601" s="3">
        <v>2.04</v>
      </c>
      <c r="N601"/>
      <c r="O601"/>
    </row>
    <row r="602" spans="2:15">
      <c r="B602" s="3">
        <v>2</v>
      </c>
      <c r="C602" s="3">
        <v>3</v>
      </c>
      <c r="D602" s="3">
        <v>1137</v>
      </c>
      <c r="E602" s="3">
        <v>13</v>
      </c>
      <c r="F602" s="3">
        <v>0.77</v>
      </c>
      <c r="N602"/>
      <c r="O602"/>
    </row>
    <row r="603" spans="2:15">
      <c r="B603" s="3">
        <v>2</v>
      </c>
      <c r="C603" s="3">
        <v>3</v>
      </c>
      <c r="D603" s="3">
        <v>1253</v>
      </c>
      <c r="E603" s="3">
        <v>13</v>
      </c>
      <c r="F603" s="3">
        <v>1.78</v>
      </c>
      <c r="N603"/>
      <c r="O603"/>
    </row>
    <row r="604" spans="2:15">
      <c r="B604" s="3">
        <v>2</v>
      </c>
      <c r="C604" s="3">
        <v>3</v>
      </c>
      <c r="D604" s="3">
        <v>1627</v>
      </c>
      <c r="E604" s="3">
        <v>10</v>
      </c>
      <c r="F604" s="3">
        <v>1.1299999999999999</v>
      </c>
      <c r="N604"/>
      <c r="O604"/>
    </row>
    <row r="605" spans="2:15">
      <c r="B605" s="3">
        <v>2</v>
      </c>
      <c r="C605" s="3">
        <v>3</v>
      </c>
      <c r="D605" s="3">
        <v>1181</v>
      </c>
      <c r="E605" s="3">
        <v>18</v>
      </c>
      <c r="F605" s="3">
        <v>1.37</v>
      </c>
      <c r="N605"/>
      <c r="O605"/>
    </row>
    <row r="606" spans="2:15">
      <c r="B606" s="3">
        <v>2</v>
      </c>
      <c r="C606" s="3">
        <v>3</v>
      </c>
      <c r="D606" s="3">
        <v>702</v>
      </c>
      <c r="E606" s="3">
        <v>1</v>
      </c>
      <c r="F606" s="3">
        <v>2.99</v>
      </c>
      <c r="N606"/>
      <c r="O606"/>
    </row>
    <row r="607" spans="2:15">
      <c r="B607" s="3">
        <v>2</v>
      </c>
      <c r="C607" s="3">
        <v>3</v>
      </c>
      <c r="D607" s="3">
        <v>1004</v>
      </c>
      <c r="E607" s="3">
        <v>3</v>
      </c>
      <c r="F607" s="3">
        <v>1.76</v>
      </c>
      <c r="N607"/>
      <c r="O607"/>
    </row>
    <row r="608" spans="2:15">
      <c r="B608" s="3">
        <v>2</v>
      </c>
      <c r="C608" s="3">
        <v>3</v>
      </c>
      <c r="D608" s="3">
        <v>1316</v>
      </c>
      <c r="E608" s="3">
        <v>10</v>
      </c>
      <c r="F608" s="3">
        <v>0.5</v>
      </c>
      <c r="N608"/>
      <c r="O608"/>
    </row>
    <row r="609" spans="2:15">
      <c r="B609" s="3">
        <v>2</v>
      </c>
      <c r="C609" s="3">
        <v>3</v>
      </c>
      <c r="D609" s="3">
        <v>1002</v>
      </c>
      <c r="E609" s="3">
        <v>19</v>
      </c>
      <c r="F609" s="3">
        <v>0.66</v>
      </c>
      <c r="N609"/>
      <c r="O609"/>
    </row>
    <row r="610" spans="2:15">
      <c r="B610" s="3">
        <v>2</v>
      </c>
      <c r="C610" s="3">
        <v>3</v>
      </c>
      <c r="D610" s="3">
        <v>1066</v>
      </c>
      <c r="E610" s="3">
        <v>10</v>
      </c>
      <c r="F610" s="3">
        <v>1.66</v>
      </c>
      <c r="N610"/>
      <c r="O610"/>
    </row>
    <row r="611" spans="2:15">
      <c r="B611" s="3">
        <v>2</v>
      </c>
      <c r="C611" s="3">
        <v>3</v>
      </c>
      <c r="D611" s="3">
        <v>600</v>
      </c>
      <c r="E611" s="3">
        <v>19</v>
      </c>
      <c r="F611" s="3">
        <v>1.33</v>
      </c>
      <c r="N611"/>
      <c r="O611"/>
    </row>
    <row r="612" spans="2:15">
      <c r="B612" s="3">
        <v>2</v>
      </c>
      <c r="C612" s="3">
        <v>3</v>
      </c>
      <c r="D612" s="3">
        <v>1409</v>
      </c>
      <c r="E612" s="3">
        <v>9</v>
      </c>
      <c r="F612" s="3">
        <v>1.23</v>
      </c>
      <c r="N612"/>
      <c r="O612"/>
    </row>
    <row r="613" spans="2:15">
      <c r="B613" s="3">
        <v>2</v>
      </c>
      <c r="C613" s="3">
        <v>3</v>
      </c>
      <c r="D613" s="3">
        <v>1394</v>
      </c>
      <c r="E613" s="3">
        <v>17</v>
      </c>
      <c r="F613" s="3">
        <v>2.19</v>
      </c>
      <c r="N613"/>
      <c r="O613"/>
    </row>
    <row r="614" spans="2:15">
      <c r="B614" s="3">
        <v>2</v>
      </c>
      <c r="C614" s="3">
        <v>3</v>
      </c>
      <c r="D614" s="3">
        <v>1017</v>
      </c>
      <c r="E614" s="3">
        <v>8</v>
      </c>
      <c r="F614" s="3">
        <v>1.71</v>
      </c>
      <c r="N614"/>
      <c r="O614"/>
    </row>
    <row r="615" spans="2:15">
      <c r="B615" s="3">
        <v>2</v>
      </c>
      <c r="C615" s="3">
        <v>3</v>
      </c>
      <c r="D615" s="3">
        <v>1191</v>
      </c>
      <c r="E615" s="3">
        <v>9</v>
      </c>
      <c r="F615" s="3">
        <v>2.95</v>
      </c>
      <c r="N615"/>
      <c r="O615"/>
    </row>
    <row r="616" spans="2:15">
      <c r="B616" s="3">
        <v>2</v>
      </c>
      <c r="C616" s="3">
        <v>3</v>
      </c>
      <c r="D616" s="3">
        <v>1538</v>
      </c>
      <c r="E616" s="3">
        <v>12</v>
      </c>
      <c r="F616" s="3">
        <v>1.0900000000000001</v>
      </c>
      <c r="N616"/>
      <c r="O616"/>
    </row>
    <row r="617" spans="2:15">
      <c r="B617" s="3">
        <v>2</v>
      </c>
      <c r="C617" s="3">
        <v>3</v>
      </c>
      <c r="D617" s="3">
        <v>746</v>
      </c>
      <c r="E617" s="3">
        <v>2</v>
      </c>
      <c r="F617" s="3">
        <v>1.59</v>
      </c>
      <c r="N617"/>
      <c r="O617"/>
    </row>
    <row r="618" spans="2:15">
      <c r="B618" s="3">
        <v>2</v>
      </c>
      <c r="C618" s="3">
        <v>3</v>
      </c>
      <c r="D618" s="3">
        <v>594</v>
      </c>
      <c r="E618" s="3">
        <v>10</v>
      </c>
      <c r="F618" s="3">
        <v>0.72</v>
      </c>
      <c r="N618"/>
      <c r="O618"/>
    </row>
    <row r="619" spans="2:15">
      <c r="B619" s="3">
        <v>2</v>
      </c>
      <c r="C619" s="3">
        <v>3</v>
      </c>
      <c r="D619" s="3">
        <v>1212</v>
      </c>
      <c r="E619" s="3">
        <v>14</v>
      </c>
      <c r="F619" s="3">
        <v>1.1599999999999999</v>
      </c>
      <c r="N619"/>
      <c r="O619"/>
    </row>
    <row r="620" spans="2:15">
      <c r="B620" s="3">
        <v>2</v>
      </c>
      <c r="C620" s="3">
        <v>3</v>
      </c>
      <c r="D620" s="3">
        <v>435</v>
      </c>
      <c r="E620" s="3">
        <v>10</v>
      </c>
      <c r="F620" s="3">
        <v>1.58</v>
      </c>
      <c r="N620"/>
      <c r="O620"/>
    </row>
    <row r="621" spans="2:15">
      <c r="B621" s="3">
        <v>2</v>
      </c>
      <c r="C621" s="3">
        <v>3</v>
      </c>
      <c r="D621" s="3">
        <v>2025</v>
      </c>
      <c r="E621" s="3">
        <v>19</v>
      </c>
      <c r="F621" s="3">
        <v>0.23</v>
      </c>
      <c r="N621"/>
      <c r="O621"/>
    </row>
    <row r="622" spans="2:15">
      <c r="B622" s="3">
        <v>2</v>
      </c>
      <c r="C622" s="3">
        <v>3</v>
      </c>
      <c r="D622" s="3">
        <v>1584</v>
      </c>
      <c r="E622" s="3">
        <v>19</v>
      </c>
      <c r="F622" s="3">
        <v>0.42</v>
      </c>
      <c r="N622"/>
      <c r="O622"/>
    </row>
    <row r="623" spans="2:15">
      <c r="B623" s="3">
        <v>2</v>
      </c>
      <c r="C623" s="3">
        <v>3</v>
      </c>
      <c r="D623" s="3">
        <v>1302</v>
      </c>
      <c r="E623" s="3">
        <v>15</v>
      </c>
      <c r="F623" s="3">
        <v>2.0499999999999998</v>
      </c>
      <c r="N623"/>
      <c r="O623"/>
    </row>
    <row r="624" spans="2:15">
      <c r="B624" s="3">
        <v>2</v>
      </c>
      <c r="C624" s="3">
        <v>3</v>
      </c>
      <c r="D624" s="3">
        <v>1634</v>
      </c>
      <c r="E624" s="3">
        <v>16</v>
      </c>
      <c r="F624" s="3">
        <v>1.66</v>
      </c>
      <c r="N624"/>
      <c r="O624"/>
    </row>
    <row r="625" spans="2:15">
      <c r="B625" s="3">
        <v>2</v>
      </c>
      <c r="C625" s="3">
        <v>3</v>
      </c>
      <c r="D625" s="3">
        <v>1424</v>
      </c>
      <c r="E625" s="3">
        <v>12</v>
      </c>
      <c r="F625" s="3">
        <v>0.74</v>
      </c>
      <c r="N625"/>
      <c r="O625"/>
    </row>
    <row r="626" spans="2:15">
      <c r="B626" s="3">
        <v>2</v>
      </c>
      <c r="C626" s="3">
        <v>3</v>
      </c>
      <c r="D626" s="3">
        <v>827</v>
      </c>
      <c r="E626" s="3">
        <v>9</v>
      </c>
      <c r="F626" s="3">
        <v>1.52</v>
      </c>
      <c r="N626"/>
      <c r="O626"/>
    </row>
    <row r="627" spans="2:15">
      <c r="B627" s="3">
        <v>2</v>
      </c>
      <c r="C627" s="3">
        <v>3</v>
      </c>
      <c r="D627" s="3">
        <v>1401</v>
      </c>
      <c r="E627" s="3">
        <v>13</v>
      </c>
      <c r="F627" s="3">
        <v>1.19</v>
      </c>
      <c r="N627"/>
      <c r="O627"/>
    </row>
    <row r="628" spans="2:15">
      <c r="B628" s="3">
        <v>2</v>
      </c>
      <c r="C628" s="3">
        <v>3</v>
      </c>
      <c r="D628" s="3">
        <v>980</v>
      </c>
      <c r="E628" s="3">
        <v>10</v>
      </c>
      <c r="F628" s="3">
        <v>0.4</v>
      </c>
      <c r="N628"/>
      <c r="O628"/>
    </row>
    <row r="629" spans="2:15">
      <c r="B629" s="3">
        <v>2</v>
      </c>
      <c r="C629" s="3">
        <v>3</v>
      </c>
      <c r="D629" s="3">
        <v>865</v>
      </c>
      <c r="E629" s="3">
        <v>16</v>
      </c>
      <c r="F629" s="3">
        <v>1.68</v>
      </c>
      <c r="N629"/>
      <c r="O629"/>
    </row>
    <row r="630" spans="2:15">
      <c r="B630" s="3">
        <v>2</v>
      </c>
      <c r="C630" s="3">
        <v>3</v>
      </c>
      <c r="D630" s="3">
        <v>633</v>
      </c>
      <c r="E630" s="3">
        <v>19</v>
      </c>
      <c r="F630" s="3">
        <v>1.06</v>
      </c>
      <c r="N630"/>
      <c r="O630"/>
    </row>
    <row r="631" spans="2:15">
      <c r="B631" s="3">
        <v>2</v>
      </c>
      <c r="C631" s="3">
        <v>3</v>
      </c>
      <c r="D631" s="3">
        <v>1247</v>
      </c>
      <c r="E631" s="3">
        <v>5</v>
      </c>
      <c r="F631" s="3">
        <v>0.45</v>
      </c>
      <c r="N631"/>
      <c r="O631"/>
    </row>
    <row r="632" spans="2:15">
      <c r="B632" s="3">
        <v>2</v>
      </c>
      <c r="C632" s="3">
        <v>3</v>
      </c>
      <c r="D632" s="3">
        <v>1029</v>
      </c>
      <c r="E632" s="3">
        <v>11</v>
      </c>
      <c r="F632" s="3">
        <v>1.18</v>
      </c>
      <c r="N632"/>
      <c r="O632"/>
    </row>
    <row r="633" spans="2:15">
      <c r="B633" s="3">
        <v>2</v>
      </c>
      <c r="C633" s="3">
        <v>3</v>
      </c>
      <c r="D633" s="3">
        <v>1353</v>
      </c>
      <c r="E633" s="3">
        <v>8</v>
      </c>
      <c r="F633" s="3">
        <v>0.55000000000000004</v>
      </c>
      <c r="N633"/>
      <c r="O633"/>
    </row>
    <row r="634" spans="2:15">
      <c r="B634" s="3">
        <v>2</v>
      </c>
      <c r="C634" s="3">
        <v>3</v>
      </c>
      <c r="D634" s="3">
        <v>726</v>
      </c>
      <c r="E634" s="3">
        <v>6</v>
      </c>
      <c r="F634" s="3">
        <v>1.24</v>
      </c>
      <c r="N634"/>
      <c r="O634"/>
    </row>
    <row r="635" spans="2:15">
      <c r="B635" s="3">
        <v>2</v>
      </c>
      <c r="C635" s="3">
        <v>3</v>
      </c>
      <c r="D635" s="3">
        <v>681</v>
      </c>
      <c r="E635" s="3">
        <v>12</v>
      </c>
      <c r="F635" s="3">
        <v>1.46</v>
      </c>
    </row>
    <row r="636" spans="2:15">
      <c r="B636" s="3">
        <v>2</v>
      </c>
      <c r="C636" s="3">
        <v>3</v>
      </c>
      <c r="D636" s="3">
        <v>1761</v>
      </c>
      <c r="E636" s="3">
        <v>20</v>
      </c>
      <c r="F636" s="3">
        <v>1.17</v>
      </c>
    </row>
    <row r="637" spans="2:15">
      <c r="B637" s="3">
        <v>2</v>
      </c>
      <c r="C637" s="3">
        <v>3</v>
      </c>
      <c r="D637" s="3">
        <v>1135</v>
      </c>
      <c r="E637" s="3">
        <v>19</v>
      </c>
      <c r="F637" s="3">
        <v>1.05</v>
      </c>
    </row>
    <row r="638" spans="2:15">
      <c r="B638" s="3">
        <v>2</v>
      </c>
      <c r="C638" s="3">
        <v>3</v>
      </c>
      <c r="D638" s="3">
        <v>703</v>
      </c>
      <c r="E638" s="3">
        <v>17</v>
      </c>
      <c r="F638" s="3">
        <v>0.89</v>
      </c>
    </row>
    <row r="639" spans="2:15">
      <c r="B639" s="3">
        <v>2</v>
      </c>
      <c r="C639" s="3">
        <v>3</v>
      </c>
      <c r="D639" s="3">
        <v>1523</v>
      </c>
      <c r="E639" s="3">
        <v>6</v>
      </c>
      <c r="F639" s="3">
        <v>1.65</v>
      </c>
    </row>
    <row r="640" spans="2:15">
      <c r="B640" s="3">
        <v>2</v>
      </c>
      <c r="C640" s="3">
        <v>3</v>
      </c>
      <c r="D640" s="3">
        <v>482</v>
      </c>
      <c r="E640" s="3">
        <v>19</v>
      </c>
      <c r="F640" s="3">
        <v>1.48</v>
      </c>
    </row>
    <row r="641" spans="2:6">
      <c r="B641" s="3">
        <v>2</v>
      </c>
      <c r="C641" s="3">
        <v>3</v>
      </c>
      <c r="D641" s="3">
        <v>862</v>
      </c>
      <c r="E641" s="3">
        <v>11</v>
      </c>
      <c r="F641" s="3">
        <v>0.45</v>
      </c>
    </row>
    <row r="642" spans="2:6">
      <c r="B642" s="3">
        <v>2</v>
      </c>
      <c r="C642" s="3">
        <v>3</v>
      </c>
      <c r="D642" s="3">
        <v>905</v>
      </c>
      <c r="E642" s="3">
        <v>10</v>
      </c>
      <c r="F642" s="3">
        <v>2.57</v>
      </c>
    </row>
    <row r="643" spans="2:6">
      <c r="B643" s="3">
        <v>2</v>
      </c>
      <c r="C643" s="3">
        <v>3</v>
      </c>
      <c r="D643" s="3">
        <v>1572</v>
      </c>
      <c r="E643" s="3">
        <v>14</v>
      </c>
      <c r="F643" s="3">
        <v>0.42</v>
      </c>
    </row>
    <row r="644" spans="2:6">
      <c r="B644" s="3">
        <v>2</v>
      </c>
      <c r="C644" s="3">
        <v>3</v>
      </c>
      <c r="D644" s="3">
        <v>1263</v>
      </c>
      <c r="E644" s="3">
        <v>10</v>
      </c>
      <c r="F644" s="3">
        <v>1.71</v>
      </c>
    </row>
    <row r="645" spans="2:6">
      <c r="B645" s="3">
        <v>2</v>
      </c>
      <c r="C645" s="3">
        <v>3</v>
      </c>
      <c r="D645" s="3">
        <v>1284</v>
      </c>
      <c r="E645" s="3">
        <v>6</v>
      </c>
      <c r="F645" s="3">
        <v>1.82</v>
      </c>
    </row>
    <row r="646" spans="2:6">
      <c r="B646" s="3">
        <v>2</v>
      </c>
      <c r="C646" s="3">
        <v>3</v>
      </c>
      <c r="D646" s="3">
        <v>1003</v>
      </c>
      <c r="E646" s="3">
        <v>10</v>
      </c>
      <c r="F646" s="3">
        <v>1.08</v>
      </c>
    </row>
    <row r="647" spans="2:6">
      <c r="B647" s="3">
        <v>2</v>
      </c>
      <c r="C647" s="3">
        <v>3</v>
      </c>
      <c r="D647" s="3">
        <v>740</v>
      </c>
      <c r="E647" s="3">
        <v>8</v>
      </c>
      <c r="F647" s="3">
        <v>1.01</v>
      </c>
    </row>
    <row r="648" spans="2:6">
      <c r="B648" s="3">
        <v>2</v>
      </c>
      <c r="C648" s="3">
        <v>3</v>
      </c>
      <c r="D648" s="3">
        <v>1957</v>
      </c>
      <c r="E648" s="3">
        <v>9</v>
      </c>
      <c r="F648" s="3">
        <v>1.24</v>
      </c>
    </row>
    <row r="649" spans="2:6">
      <c r="B649" s="3">
        <v>2</v>
      </c>
      <c r="C649" s="3">
        <v>3</v>
      </c>
      <c r="D649" s="3">
        <v>961</v>
      </c>
      <c r="E649" s="3">
        <v>10</v>
      </c>
      <c r="F649" s="3">
        <v>1.73</v>
      </c>
    </row>
    <row r="650" spans="2:6">
      <c r="B650" s="3">
        <v>2</v>
      </c>
      <c r="C650" s="3">
        <v>3</v>
      </c>
      <c r="D650" s="3">
        <v>1003</v>
      </c>
      <c r="E650" s="3">
        <v>20</v>
      </c>
      <c r="F650" s="3">
        <v>1.62</v>
      </c>
    </row>
    <row r="651" spans="2:6">
      <c r="B651" s="3">
        <v>2</v>
      </c>
      <c r="C651" s="3">
        <v>3</v>
      </c>
      <c r="D651" s="3">
        <v>1610</v>
      </c>
      <c r="E651" s="3">
        <v>7</v>
      </c>
      <c r="F651" s="3">
        <v>0</v>
      </c>
    </row>
    <row r="652" spans="2:6">
      <c r="B652" s="3">
        <v>2</v>
      </c>
      <c r="C652" s="3">
        <v>3</v>
      </c>
      <c r="D652" s="3">
        <v>1036</v>
      </c>
      <c r="E652" s="3">
        <v>14</v>
      </c>
      <c r="F652" s="3">
        <v>2.3199999999999998</v>
      </c>
    </row>
    <row r="653" spans="2:6">
      <c r="B653" s="3">
        <v>2</v>
      </c>
      <c r="C653" s="3">
        <v>3</v>
      </c>
      <c r="D653" s="3">
        <v>1583</v>
      </c>
      <c r="E653" s="3">
        <v>17</v>
      </c>
      <c r="F653" s="3">
        <v>0.5</v>
      </c>
    </row>
    <row r="654" spans="2:6">
      <c r="B654" s="3">
        <v>2</v>
      </c>
      <c r="C654" s="3">
        <v>3</v>
      </c>
      <c r="D654" s="3">
        <v>1105</v>
      </c>
      <c r="E654" s="3">
        <v>17</v>
      </c>
      <c r="F654" s="3">
        <v>1.17</v>
      </c>
    </row>
    <row r="655" spans="2:6">
      <c r="B655" s="3">
        <v>2</v>
      </c>
      <c r="C655" s="3">
        <v>3</v>
      </c>
      <c r="D655" s="3">
        <v>1851</v>
      </c>
      <c r="E655" s="3">
        <v>10</v>
      </c>
      <c r="F655" s="3">
        <v>2.2599999999999998</v>
      </c>
    </row>
    <row r="656" spans="2:6">
      <c r="B656" s="3">
        <v>2</v>
      </c>
      <c r="C656" s="3">
        <v>3</v>
      </c>
      <c r="D656" s="3">
        <v>1325</v>
      </c>
      <c r="E656" s="3">
        <v>21</v>
      </c>
      <c r="F656" s="3">
        <v>1.01</v>
      </c>
    </row>
    <row r="657" spans="2:6">
      <c r="B657" s="3">
        <v>2</v>
      </c>
      <c r="C657" s="3">
        <v>3</v>
      </c>
      <c r="D657" s="3">
        <v>698</v>
      </c>
      <c r="E657" s="3">
        <v>8</v>
      </c>
      <c r="F657" s="3">
        <v>0.59</v>
      </c>
    </row>
    <row r="658" spans="2:6">
      <c r="B658" s="3">
        <v>2</v>
      </c>
      <c r="C658" s="3">
        <v>3</v>
      </c>
      <c r="D658" s="3">
        <v>967</v>
      </c>
      <c r="E658" s="3">
        <v>18</v>
      </c>
      <c r="F658" s="3">
        <v>1.36</v>
      </c>
    </row>
    <row r="659" spans="2:6">
      <c r="B659" s="3">
        <v>2</v>
      </c>
      <c r="C659" s="3">
        <v>3</v>
      </c>
      <c r="D659" s="3">
        <v>1037</v>
      </c>
      <c r="E659" s="3">
        <v>8</v>
      </c>
      <c r="F659" s="3">
        <v>2.42</v>
      </c>
    </row>
    <row r="660" spans="2:6">
      <c r="B660" s="3">
        <v>2</v>
      </c>
      <c r="C660" s="3">
        <v>3</v>
      </c>
      <c r="D660" s="3">
        <v>1072</v>
      </c>
      <c r="E660" s="3">
        <v>10</v>
      </c>
      <c r="F660" s="3">
        <v>2.08</v>
      </c>
    </row>
    <row r="661" spans="2:6">
      <c r="B661" s="3">
        <v>2</v>
      </c>
      <c r="C661" s="3">
        <v>3</v>
      </c>
      <c r="D661" s="3">
        <v>1390</v>
      </c>
      <c r="E661" s="3">
        <v>4</v>
      </c>
      <c r="F661" s="3">
        <v>1</v>
      </c>
    </row>
    <row r="662" spans="2:6">
      <c r="B662" s="3">
        <v>2</v>
      </c>
      <c r="C662" s="3">
        <v>3</v>
      </c>
      <c r="D662" s="3">
        <v>1106</v>
      </c>
      <c r="E662" s="3">
        <v>8</v>
      </c>
      <c r="F662" s="3">
        <v>1.68</v>
      </c>
    </row>
    <row r="663" spans="2:6">
      <c r="B663" s="3">
        <v>2</v>
      </c>
      <c r="C663" s="3">
        <v>3</v>
      </c>
      <c r="D663" s="3">
        <v>1661</v>
      </c>
      <c r="E663" s="3">
        <v>18</v>
      </c>
      <c r="F663" s="3">
        <v>1.38</v>
      </c>
    </row>
    <row r="664" spans="2:6">
      <c r="B664" s="3">
        <v>2</v>
      </c>
      <c r="C664" s="3">
        <v>3</v>
      </c>
      <c r="D664" s="3">
        <v>1205</v>
      </c>
      <c r="E664" s="3">
        <v>14</v>
      </c>
      <c r="F664" s="3">
        <v>1.6</v>
      </c>
    </row>
    <row r="665" spans="2:6">
      <c r="B665" s="3">
        <v>2</v>
      </c>
      <c r="C665" s="3">
        <v>3</v>
      </c>
      <c r="D665" s="3">
        <v>1191</v>
      </c>
      <c r="E665" s="3">
        <v>14</v>
      </c>
      <c r="F665" s="3">
        <v>1.0900000000000001</v>
      </c>
    </row>
    <row r="666" spans="2:6">
      <c r="B666" s="3">
        <v>2</v>
      </c>
      <c r="C666" s="3">
        <v>3</v>
      </c>
      <c r="D666" s="3">
        <v>1315</v>
      </c>
      <c r="E666" s="3">
        <v>5</v>
      </c>
      <c r="F666" s="3">
        <v>1.08</v>
      </c>
    </row>
    <row r="667" spans="2:6">
      <c r="B667" s="3">
        <v>2</v>
      </c>
      <c r="C667" s="3">
        <v>3</v>
      </c>
      <c r="D667" s="3">
        <v>1690</v>
      </c>
      <c r="E667" s="3">
        <v>13</v>
      </c>
      <c r="F667" s="3">
        <v>0</v>
      </c>
    </row>
    <row r="668" spans="2:6">
      <c r="B668" s="3">
        <v>2</v>
      </c>
      <c r="C668" s="3">
        <v>3</v>
      </c>
      <c r="D668" s="3">
        <v>1912</v>
      </c>
      <c r="E668" s="3">
        <v>17</v>
      </c>
      <c r="F668" s="3">
        <v>0.83</v>
      </c>
    </row>
    <row r="669" spans="2:6">
      <c r="B669" s="3">
        <v>2</v>
      </c>
      <c r="C669" s="3">
        <v>3</v>
      </c>
      <c r="D669" s="3">
        <v>1034</v>
      </c>
      <c r="E669" s="3">
        <v>5</v>
      </c>
      <c r="F669" s="3">
        <v>1.92</v>
      </c>
    </row>
    <row r="670" spans="2:6">
      <c r="B670" s="3">
        <v>2</v>
      </c>
      <c r="C670" s="3">
        <v>3</v>
      </c>
      <c r="D670" s="3">
        <v>823</v>
      </c>
      <c r="E670" s="3">
        <v>14</v>
      </c>
      <c r="F670" s="3">
        <v>2.99</v>
      </c>
    </row>
    <row r="671" spans="2:6">
      <c r="B671" s="3">
        <v>2</v>
      </c>
      <c r="C671" s="3">
        <v>3</v>
      </c>
      <c r="D671" s="3">
        <v>1899</v>
      </c>
      <c r="E671" s="3">
        <v>21</v>
      </c>
      <c r="F671" s="3">
        <v>0.51</v>
      </c>
    </row>
    <row r="672" spans="2:6">
      <c r="B672" s="3">
        <v>2</v>
      </c>
      <c r="C672" s="3">
        <v>3</v>
      </c>
      <c r="D672" s="3">
        <v>1371</v>
      </c>
      <c r="E672" s="3">
        <v>17</v>
      </c>
      <c r="F672" s="3">
        <v>0</v>
      </c>
    </row>
    <row r="673" spans="2:6">
      <c r="B673" s="3">
        <v>2</v>
      </c>
      <c r="C673" s="3">
        <v>3</v>
      </c>
      <c r="D673" s="3">
        <v>947</v>
      </c>
      <c r="E673" s="3">
        <v>6</v>
      </c>
      <c r="F673" s="3">
        <v>1.25</v>
      </c>
    </row>
    <row r="674" spans="2:6">
      <c r="B674" s="3">
        <v>2</v>
      </c>
      <c r="C674" s="3">
        <v>3</v>
      </c>
      <c r="D674" s="3">
        <v>880</v>
      </c>
      <c r="E674" s="3">
        <v>13</v>
      </c>
      <c r="F674" s="3">
        <v>2.09</v>
      </c>
    </row>
    <row r="675" spans="2:6">
      <c r="B675" s="3">
        <v>2</v>
      </c>
      <c r="C675" s="3">
        <v>3</v>
      </c>
      <c r="D675" s="3">
        <v>613</v>
      </c>
      <c r="E675" s="3">
        <v>13</v>
      </c>
      <c r="F675" s="3">
        <v>2.4700000000000002</v>
      </c>
    </row>
    <row r="676" spans="2:6">
      <c r="B676" s="3">
        <v>2</v>
      </c>
      <c r="C676" s="3">
        <v>3</v>
      </c>
      <c r="D676" s="3">
        <v>1072</v>
      </c>
      <c r="E676" s="3">
        <v>12</v>
      </c>
      <c r="F676" s="3">
        <v>0.68</v>
      </c>
    </row>
    <row r="677" spans="2:6">
      <c r="B677" s="3">
        <v>2</v>
      </c>
      <c r="C677" s="3">
        <v>3</v>
      </c>
      <c r="D677" s="3">
        <v>1139</v>
      </c>
      <c r="E677" s="3">
        <v>11</v>
      </c>
      <c r="F677" s="3">
        <v>1.65</v>
      </c>
    </row>
    <row r="678" spans="2:6">
      <c r="B678" s="3">
        <v>2</v>
      </c>
      <c r="C678" s="3">
        <v>3</v>
      </c>
      <c r="D678" s="3">
        <v>1270</v>
      </c>
      <c r="E678" s="3">
        <v>18</v>
      </c>
      <c r="F678" s="3">
        <v>0.57999999999999996</v>
      </c>
    </row>
    <row r="679" spans="2:6">
      <c r="B679" s="3">
        <v>2</v>
      </c>
      <c r="C679" s="3">
        <v>3</v>
      </c>
      <c r="D679" s="3">
        <v>1472</v>
      </c>
      <c r="E679" s="3">
        <v>10</v>
      </c>
      <c r="F679" s="3">
        <v>0</v>
      </c>
    </row>
    <row r="680" spans="2:6">
      <c r="B680" s="3">
        <v>2</v>
      </c>
      <c r="C680" s="3">
        <v>3</v>
      </c>
      <c r="D680" s="3">
        <v>1365</v>
      </c>
      <c r="E680" s="3">
        <v>27</v>
      </c>
      <c r="F680" s="3">
        <v>2.46</v>
      </c>
    </row>
    <row r="681" spans="2:6">
      <c r="B681" s="3">
        <v>2</v>
      </c>
      <c r="C681" s="3">
        <v>3</v>
      </c>
      <c r="D681" s="3">
        <v>1118</v>
      </c>
      <c r="E681" s="3">
        <v>13</v>
      </c>
      <c r="F681" s="3">
        <v>0.03</v>
      </c>
    </row>
    <row r="682" spans="2:6">
      <c r="B682" s="3">
        <v>2</v>
      </c>
      <c r="C682" s="3">
        <v>3</v>
      </c>
      <c r="D682" s="3">
        <v>1315</v>
      </c>
      <c r="E682" s="3">
        <v>8</v>
      </c>
      <c r="F682" s="3">
        <v>2.08</v>
      </c>
    </row>
    <row r="683" spans="2:6">
      <c r="B683" s="3">
        <v>2</v>
      </c>
      <c r="C683" s="3">
        <v>3</v>
      </c>
      <c r="D683" s="3">
        <v>1517</v>
      </c>
      <c r="E683" s="3">
        <v>19</v>
      </c>
      <c r="F683" s="3">
        <v>1.21</v>
      </c>
    </row>
    <row r="684" spans="2:6">
      <c r="B684" s="3">
        <v>2</v>
      </c>
      <c r="C684" s="3">
        <v>3</v>
      </c>
      <c r="D684" s="3">
        <v>1647</v>
      </c>
      <c r="E684" s="3">
        <v>14</v>
      </c>
      <c r="F684" s="3">
        <v>0.49</v>
      </c>
    </row>
    <row r="685" spans="2:6">
      <c r="B685" s="3">
        <v>2</v>
      </c>
      <c r="C685" s="3">
        <v>3</v>
      </c>
      <c r="D685" s="3">
        <v>1340</v>
      </c>
      <c r="E685" s="3">
        <v>14</v>
      </c>
      <c r="F685" s="3">
        <v>0.5</v>
      </c>
    </row>
    <row r="686" spans="2:6">
      <c r="B686" s="3">
        <v>2</v>
      </c>
      <c r="C686" s="3">
        <v>3</v>
      </c>
      <c r="D686" s="3">
        <v>1064</v>
      </c>
      <c r="E686" s="3">
        <v>6</v>
      </c>
      <c r="F686" s="3">
        <v>0.48</v>
      </c>
    </row>
    <row r="687" spans="2:6">
      <c r="B687" s="3">
        <v>2</v>
      </c>
      <c r="C687" s="3">
        <v>3</v>
      </c>
      <c r="D687" s="3">
        <v>1653</v>
      </c>
      <c r="E687" s="3">
        <v>13</v>
      </c>
      <c r="F687" s="3">
        <v>2.15</v>
      </c>
    </row>
    <row r="688" spans="2:6">
      <c r="B688" s="3">
        <v>2</v>
      </c>
      <c r="C688" s="3">
        <v>3</v>
      </c>
      <c r="D688" s="3">
        <v>1349</v>
      </c>
      <c r="E688" s="3">
        <v>11</v>
      </c>
      <c r="F688" s="3">
        <v>0.99</v>
      </c>
    </row>
    <row r="689" spans="2:6">
      <c r="B689" s="3">
        <v>2</v>
      </c>
      <c r="C689" s="3">
        <v>3</v>
      </c>
      <c r="D689" s="3">
        <v>1067</v>
      </c>
      <c r="E689" s="3">
        <v>16</v>
      </c>
      <c r="F689" s="3">
        <v>0.96</v>
      </c>
    </row>
    <row r="690" spans="2:6">
      <c r="B690" s="3">
        <v>2</v>
      </c>
      <c r="C690" s="3">
        <v>3</v>
      </c>
      <c r="D690" s="3">
        <v>1209</v>
      </c>
      <c r="E690" s="3">
        <v>15</v>
      </c>
      <c r="F690" s="3">
        <v>1.81</v>
      </c>
    </row>
    <row r="691" spans="2:6">
      <c r="B691" s="3">
        <v>2</v>
      </c>
      <c r="C691" s="3">
        <v>3</v>
      </c>
      <c r="D691" s="3">
        <v>1097</v>
      </c>
      <c r="E691" s="3">
        <v>14</v>
      </c>
      <c r="F691" s="3">
        <v>0.94</v>
      </c>
    </row>
    <row r="692" spans="2:6">
      <c r="B692" s="3">
        <v>2</v>
      </c>
      <c r="C692" s="3">
        <v>3</v>
      </c>
      <c r="D692" s="3">
        <v>1612</v>
      </c>
      <c r="E692" s="3">
        <v>17</v>
      </c>
      <c r="F692" s="3">
        <v>0.94</v>
      </c>
    </row>
    <row r="693" spans="2:6">
      <c r="B693" s="3">
        <v>2</v>
      </c>
      <c r="C693" s="3">
        <v>3</v>
      </c>
      <c r="D693" s="3">
        <v>1236</v>
      </c>
      <c r="E693" s="3">
        <v>9</v>
      </c>
      <c r="F693" s="3">
        <v>2.46</v>
      </c>
    </row>
    <row r="694" spans="2:6">
      <c r="B694" s="3">
        <v>2</v>
      </c>
      <c r="C694" s="3">
        <v>3</v>
      </c>
      <c r="D694" s="3">
        <v>1456</v>
      </c>
      <c r="E694" s="3">
        <v>7</v>
      </c>
      <c r="F694" s="3">
        <v>1.53</v>
      </c>
    </row>
    <row r="695" spans="2:6">
      <c r="B695" s="3">
        <v>2</v>
      </c>
      <c r="C695" s="3">
        <v>3</v>
      </c>
      <c r="D695" s="3">
        <v>2018</v>
      </c>
      <c r="E695" s="3">
        <v>19</v>
      </c>
      <c r="F695" s="3">
        <v>1.55</v>
      </c>
    </row>
    <row r="696" spans="2:6">
      <c r="B696" s="3">
        <v>2</v>
      </c>
      <c r="C696" s="3">
        <v>3</v>
      </c>
      <c r="D696" s="3">
        <v>992</v>
      </c>
      <c r="E696" s="3">
        <v>17</v>
      </c>
      <c r="F696" s="3">
        <v>2.27</v>
      </c>
    </row>
    <row r="697" spans="2:6">
      <c r="B697" s="3">
        <v>2</v>
      </c>
      <c r="C697" s="3">
        <v>3</v>
      </c>
      <c r="D697" s="3">
        <v>1145</v>
      </c>
      <c r="E697" s="3">
        <v>19</v>
      </c>
      <c r="F697" s="3">
        <v>2.25</v>
      </c>
    </row>
    <row r="698" spans="2:6">
      <c r="B698" s="3">
        <v>2</v>
      </c>
      <c r="C698" s="3">
        <v>3</v>
      </c>
      <c r="D698" s="3">
        <v>1940</v>
      </c>
      <c r="E698" s="3">
        <v>17</v>
      </c>
      <c r="F698" s="3">
        <v>1</v>
      </c>
    </row>
    <row r="699" spans="2:6">
      <c r="B699" s="3">
        <v>2</v>
      </c>
      <c r="C699" s="3">
        <v>3</v>
      </c>
      <c r="D699" s="3">
        <v>1012</v>
      </c>
      <c r="E699" s="3">
        <v>24</v>
      </c>
      <c r="F699" s="3">
        <v>0.32</v>
      </c>
    </row>
    <row r="700" spans="2:6">
      <c r="B700" s="3">
        <v>2</v>
      </c>
      <c r="C700" s="3">
        <v>3</v>
      </c>
      <c r="D700" s="3">
        <v>684</v>
      </c>
      <c r="E700" s="3">
        <v>9</v>
      </c>
      <c r="F700" s="3">
        <v>2.85</v>
      </c>
    </row>
    <row r="701" spans="2:6">
      <c r="B701" s="3">
        <v>2</v>
      </c>
      <c r="C701" s="3">
        <v>3</v>
      </c>
      <c r="D701" s="3">
        <v>738</v>
      </c>
      <c r="E701" s="3">
        <v>10</v>
      </c>
      <c r="F701" s="3">
        <v>1.9</v>
      </c>
    </row>
    <row r="702" spans="2:6">
      <c r="B702" s="3">
        <v>2</v>
      </c>
      <c r="C702" s="3">
        <v>3</v>
      </c>
      <c r="D702" s="3">
        <v>724</v>
      </c>
      <c r="E702" s="3">
        <v>12</v>
      </c>
      <c r="F702" s="3">
        <v>0.56000000000000005</v>
      </c>
    </row>
    <row r="703" spans="2:6">
      <c r="B703" s="3">
        <v>2</v>
      </c>
      <c r="C703" s="3">
        <v>3</v>
      </c>
      <c r="D703" s="3">
        <v>1254</v>
      </c>
      <c r="E703" s="3">
        <v>19</v>
      </c>
      <c r="F703" s="3">
        <v>1.06</v>
      </c>
    </row>
    <row r="704" spans="2:6">
      <c r="B704" s="3">
        <v>2</v>
      </c>
      <c r="C704" s="3">
        <v>3</v>
      </c>
      <c r="D704" s="3">
        <v>1042</v>
      </c>
      <c r="E704" s="3">
        <v>9</v>
      </c>
      <c r="F704" s="3">
        <v>0.79</v>
      </c>
    </row>
    <row r="705" spans="2:6">
      <c r="B705" s="3">
        <v>2</v>
      </c>
      <c r="C705" s="3">
        <v>3</v>
      </c>
      <c r="D705" s="3">
        <v>1432</v>
      </c>
      <c r="E705" s="3">
        <v>11</v>
      </c>
      <c r="F705" s="3">
        <v>0.69</v>
      </c>
    </row>
    <row r="706" spans="2:6">
      <c r="B706" s="3">
        <v>2</v>
      </c>
      <c r="C706" s="3">
        <v>3</v>
      </c>
      <c r="D706" s="3">
        <v>994</v>
      </c>
      <c r="E706" s="3">
        <v>10</v>
      </c>
      <c r="F706" s="3">
        <v>1.04</v>
      </c>
    </row>
    <row r="707" spans="2:6">
      <c r="B707" s="3">
        <v>2</v>
      </c>
      <c r="C707" s="3">
        <v>3</v>
      </c>
      <c r="D707" s="3">
        <v>1028</v>
      </c>
      <c r="E707" s="3">
        <v>10</v>
      </c>
      <c r="F707" s="3">
        <v>2.14</v>
      </c>
    </row>
    <row r="708" spans="2:6">
      <c r="B708" s="3">
        <v>2</v>
      </c>
      <c r="C708" s="3">
        <v>3</v>
      </c>
      <c r="D708" s="3">
        <v>1406</v>
      </c>
      <c r="E708" s="3">
        <v>20</v>
      </c>
      <c r="F708" s="3">
        <v>0.32</v>
      </c>
    </row>
    <row r="709" spans="2:6">
      <c r="B709" s="3">
        <v>2</v>
      </c>
      <c r="C709" s="3">
        <v>3</v>
      </c>
      <c r="D709" s="3">
        <v>1130</v>
      </c>
      <c r="E709" s="3">
        <v>20</v>
      </c>
      <c r="F709" s="3">
        <v>0</v>
      </c>
    </row>
    <row r="710" spans="2:6">
      <c r="B710" s="3">
        <v>2</v>
      </c>
      <c r="C710" s="3">
        <v>3</v>
      </c>
      <c r="D710" s="3">
        <v>818</v>
      </c>
      <c r="E710" s="3">
        <v>9</v>
      </c>
      <c r="F710" s="3">
        <v>1.28</v>
      </c>
    </row>
    <row r="711" spans="2:6">
      <c r="B711" s="3">
        <v>2</v>
      </c>
      <c r="C711" s="3">
        <v>3</v>
      </c>
      <c r="D711" s="3">
        <v>834</v>
      </c>
      <c r="E711" s="3">
        <v>16</v>
      </c>
      <c r="F711" s="3">
        <v>2.85</v>
      </c>
    </row>
    <row r="712" spans="2:6">
      <c r="B712" s="3">
        <v>2</v>
      </c>
      <c r="C712" s="3">
        <v>3</v>
      </c>
      <c r="D712" s="3">
        <v>1315</v>
      </c>
      <c r="E712" s="3">
        <v>9</v>
      </c>
      <c r="F712" s="3">
        <v>1.1299999999999999</v>
      </c>
    </row>
    <row r="713" spans="2:6">
      <c r="B713" s="3">
        <v>2</v>
      </c>
      <c r="C713" s="3">
        <v>3</v>
      </c>
      <c r="D713" s="3">
        <v>1783</v>
      </c>
      <c r="E713" s="3">
        <v>12</v>
      </c>
      <c r="F713" s="3">
        <v>1.1599999999999999</v>
      </c>
    </row>
    <row r="714" spans="2:6">
      <c r="B714" s="3">
        <v>2</v>
      </c>
      <c r="C714" s="3">
        <v>3</v>
      </c>
      <c r="D714" s="3">
        <v>1210</v>
      </c>
      <c r="E714" s="3">
        <v>10</v>
      </c>
      <c r="F714" s="3">
        <v>0.53</v>
      </c>
    </row>
    <row r="715" spans="2:6">
      <c r="B715" s="3">
        <v>2</v>
      </c>
      <c r="C715" s="3">
        <v>3</v>
      </c>
      <c r="D715" s="3">
        <v>1241</v>
      </c>
      <c r="E715" s="3">
        <v>12</v>
      </c>
      <c r="F715" s="3">
        <v>1.55</v>
      </c>
    </row>
    <row r="716" spans="2:6">
      <c r="B716" s="3">
        <v>2</v>
      </c>
      <c r="C716" s="3">
        <v>3</v>
      </c>
      <c r="D716" s="3">
        <v>1207</v>
      </c>
      <c r="E716" s="3">
        <v>19</v>
      </c>
      <c r="F716" s="3">
        <v>0.8</v>
      </c>
    </row>
    <row r="717" spans="2:6">
      <c r="B717" s="3">
        <v>2</v>
      </c>
      <c r="C717" s="3">
        <v>3</v>
      </c>
      <c r="D717" s="3">
        <v>972</v>
      </c>
      <c r="E717" s="3">
        <v>3</v>
      </c>
      <c r="F717" s="3">
        <v>1.92</v>
      </c>
    </row>
    <row r="718" spans="2:6">
      <c r="B718" s="3">
        <v>2</v>
      </c>
      <c r="C718" s="3">
        <v>3</v>
      </c>
      <c r="D718" s="3">
        <v>1168</v>
      </c>
      <c r="E718" s="3">
        <v>12</v>
      </c>
      <c r="F718" s="3">
        <v>1.35</v>
      </c>
    </row>
    <row r="719" spans="2:6">
      <c r="B719" s="3">
        <v>2</v>
      </c>
      <c r="C719" s="3">
        <v>3</v>
      </c>
      <c r="D719" s="3">
        <v>1183</v>
      </c>
      <c r="E719" s="3">
        <v>6</v>
      </c>
      <c r="F719" s="3">
        <v>1.54</v>
      </c>
    </row>
    <row r="720" spans="2:6">
      <c r="B720" s="3">
        <v>2</v>
      </c>
      <c r="C720" s="3">
        <v>3</v>
      </c>
      <c r="D720" s="3">
        <v>1260</v>
      </c>
      <c r="E720" s="3">
        <v>19</v>
      </c>
      <c r="F720" s="3">
        <v>1.22</v>
      </c>
    </row>
    <row r="721" spans="2:6">
      <c r="B721" s="3">
        <v>2</v>
      </c>
      <c r="C721" s="3">
        <v>3</v>
      </c>
      <c r="D721" s="3">
        <v>1466</v>
      </c>
      <c r="E721" s="3">
        <v>16</v>
      </c>
      <c r="F721" s="3">
        <v>0.83</v>
      </c>
    </row>
    <row r="722" spans="2:6">
      <c r="B722" s="3">
        <v>2</v>
      </c>
      <c r="C722" s="3">
        <v>3</v>
      </c>
      <c r="D722" s="3">
        <v>1377</v>
      </c>
      <c r="E722" s="3">
        <v>7</v>
      </c>
      <c r="F722" s="3">
        <v>1.19</v>
      </c>
    </row>
    <row r="723" spans="2:6">
      <c r="B723" s="3">
        <v>2</v>
      </c>
      <c r="C723" s="3">
        <v>3</v>
      </c>
      <c r="D723" s="3">
        <v>1334</v>
      </c>
      <c r="E723" s="3">
        <v>18</v>
      </c>
      <c r="F723" s="3">
        <v>1.31</v>
      </c>
    </row>
    <row r="724" spans="2:6">
      <c r="B724" s="3">
        <v>2</v>
      </c>
      <c r="C724" s="3">
        <v>3</v>
      </c>
      <c r="D724" s="3">
        <v>729</v>
      </c>
      <c r="E724" s="3">
        <v>10</v>
      </c>
      <c r="F724" s="3">
        <v>0.71</v>
      </c>
    </row>
    <row r="725" spans="2:6">
      <c r="B725" s="3">
        <v>2</v>
      </c>
      <c r="C725" s="3">
        <v>3</v>
      </c>
      <c r="D725" s="3">
        <v>1162</v>
      </c>
      <c r="E725" s="3">
        <v>1</v>
      </c>
      <c r="F725" s="3">
        <v>1.52</v>
      </c>
    </row>
    <row r="726" spans="2:6">
      <c r="B726" s="3">
        <v>2</v>
      </c>
      <c r="C726" s="3">
        <v>3</v>
      </c>
      <c r="D726" s="3">
        <v>411</v>
      </c>
      <c r="E726" s="3">
        <v>19</v>
      </c>
      <c r="F726" s="3">
        <v>1.88</v>
      </c>
    </row>
    <row r="727" spans="2:6">
      <c r="B727" s="3">
        <v>2</v>
      </c>
      <c r="C727" s="3">
        <v>3</v>
      </c>
      <c r="D727" s="3">
        <v>944</v>
      </c>
      <c r="E727" s="3">
        <v>18</v>
      </c>
      <c r="F727" s="3">
        <v>1.42</v>
      </c>
    </row>
    <row r="728" spans="2:6">
      <c r="B728" s="3">
        <v>2</v>
      </c>
      <c r="C728" s="3">
        <v>3</v>
      </c>
      <c r="D728" s="3">
        <v>853</v>
      </c>
      <c r="E728" s="3">
        <v>11</v>
      </c>
      <c r="F728" s="3">
        <v>1.26</v>
      </c>
    </row>
    <row r="729" spans="2:6">
      <c r="B729" s="3">
        <v>2</v>
      </c>
      <c r="C729" s="3">
        <v>3</v>
      </c>
      <c r="D729" s="3">
        <v>1631</v>
      </c>
      <c r="E729" s="3">
        <v>9</v>
      </c>
      <c r="F729" s="3">
        <v>2.17</v>
      </c>
    </row>
    <row r="730" spans="2:6">
      <c r="B730" s="3">
        <v>2</v>
      </c>
      <c r="C730" s="3">
        <v>3</v>
      </c>
      <c r="D730" s="3">
        <v>778</v>
      </c>
      <c r="E730" s="3">
        <v>16</v>
      </c>
      <c r="F730" s="3">
        <v>1.48</v>
      </c>
    </row>
    <row r="731" spans="2:6">
      <c r="B731" s="3">
        <v>2</v>
      </c>
      <c r="C731" s="3">
        <v>3</v>
      </c>
      <c r="D731" s="3">
        <v>1420</v>
      </c>
      <c r="E731" s="3">
        <v>7</v>
      </c>
      <c r="F731" s="3">
        <v>1.35</v>
      </c>
    </row>
    <row r="732" spans="2:6">
      <c r="B732" s="3">
        <v>2</v>
      </c>
      <c r="C732" s="3">
        <v>3</v>
      </c>
      <c r="D732" s="3">
        <v>307</v>
      </c>
      <c r="E732" s="3">
        <v>10</v>
      </c>
      <c r="F732" s="3">
        <v>1.42</v>
      </c>
    </row>
    <row r="733" spans="2:6">
      <c r="B733" s="3">
        <v>2</v>
      </c>
      <c r="C733" s="3">
        <v>3</v>
      </c>
      <c r="D733" s="3">
        <v>790</v>
      </c>
      <c r="E733" s="3">
        <v>18</v>
      </c>
      <c r="F733" s="3">
        <v>1.4</v>
      </c>
    </row>
    <row r="734" spans="2:6">
      <c r="B734" s="3">
        <v>2</v>
      </c>
      <c r="C734" s="3">
        <v>3</v>
      </c>
      <c r="D734" s="3">
        <v>1254</v>
      </c>
      <c r="E734" s="3">
        <v>9</v>
      </c>
      <c r="F734" s="3">
        <v>1.65</v>
      </c>
    </row>
    <row r="735" spans="2:6">
      <c r="B735" s="3">
        <v>2</v>
      </c>
      <c r="C735" s="3">
        <v>3</v>
      </c>
      <c r="D735" s="3">
        <v>1251</v>
      </c>
      <c r="E735" s="3">
        <v>12</v>
      </c>
      <c r="F735" s="3">
        <v>2.4500000000000002</v>
      </c>
    </row>
    <row r="736" spans="2:6">
      <c r="B736" s="3">
        <v>2</v>
      </c>
      <c r="C736" s="3">
        <v>3</v>
      </c>
      <c r="D736" s="3">
        <v>682</v>
      </c>
      <c r="E736" s="3">
        <v>17</v>
      </c>
      <c r="F736" s="3">
        <v>1.3</v>
      </c>
    </row>
    <row r="737" spans="2:6">
      <c r="B737" s="3">
        <v>2</v>
      </c>
      <c r="C737" s="3">
        <v>3</v>
      </c>
      <c r="D737" s="3">
        <v>1518</v>
      </c>
      <c r="E737" s="3">
        <v>10</v>
      </c>
      <c r="F737" s="3">
        <v>1.08</v>
      </c>
    </row>
    <row r="738" spans="2:6">
      <c r="B738" s="3">
        <v>2</v>
      </c>
      <c r="C738" s="3">
        <v>3</v>
      </c>
      <c r="D738" s="3">
        <v>1100</v>
      </c>
      <c r="E738" s="3">
        <v>14</v>
      </c>
      <c r="F738" s="3">
        <v>0.25</v>
      </c>
    </row>
    <row r="739" spans="2:6">
      <c r="B739" s="3">
        <v>2</v>
      </c>
      <c r="C739" s="3">
        <v>3</v>
      </c>
      <c r="D739" s="3">
        <v>1983</v>
      </c>
      <c r="E739" s="3">
        <v>12</v>
      </c>
      <c r="F739" s="3">
        <v>0.87</v>
      </c>
    </row>
    <row r="740" spans="2:6">
      <c r="B740" s="3">
        <v>2</v>
      </c>
      <c r="C740" s="3">
        <v>3</v>
      </c>
      <c r="D740" s="3">
        <v>1305</v>
      </c>
      <c r="E740" s="3">
        <v>9</v>
      </c>
      <c r="F740" s="3">
        <v>0.2</v>
      </c>
    </row>
    <row r="741" spans="2:6">
      <c r="B741" s="3">
        <v>2</v>
      </c>
      <c r="C741" s="3">
        <v>3</v>
      </c>
      <c r="D741" s="3">
        <v>1270</v>
      </c>
      <c r="E741" s="3">
        <v>10</v>
      </c>
      <c r="F741" s="3">
        <v>1</v>
      </c>
    </row>
    <row r="742" spans="2:6">
      <c r="B742" s="3">
        <v>2</v>
      </c>
      <c r="C742" s="3">
        <v>3</v>
      </c>
      <c r="D742" s="3">
        <v>1184</v>
      </c>
      <c r="E742" s="3">
        <v>3</v>
      </c>
      <c r="F742" s="3">
        <v>2.2999999999999998</v>
      </c>
    </row>
    <row r="743" spans="2:6">
      <c r="B743" s="3">
        <v>2</v>
      </c>
      <c r="C743" s="3">
        <v>3</v>
      </c>
      <c r="D743" s="3">
        <v>846</v>
      </c>
      <c r="E743" s="3">
        <v>16</v>
      </c>
      <c r="F743" s="3">
        <v>1.76</v>
      </c>
    </row>
    <row r="744" spans="2:6">
      <c r="B744" s="3">
        <v>2</v>
      </c>
      <c r="C744" s="3">
        <v>3</v>
      </c>
      <c r="D744" s="3">
        <v>388</v>
      </c>
      <c r="E744" s="3">
        <v>13</v>
      </c>
      <c r="F744" s="3">
        <v>0.94</v>
      </c>
    </row>
    <row r="745" spans="2:6">
      <c r="B745" s="3">
        <v>2</v>
      </c>
      <c r="C745" s="3">
        <v>3</v>
      </c>
      <c r="D745" s="3">
        <v>1690</v>
      </c>
      <c r="E745" s="3">
        <v>5</v>
      </c>
      <c r="F745" s="3">
        <v>1.6</v>
      </c>
    </row>
    <row r="746" spans="2:6">
      <c r="B746" s="3">
        <v>2</v>
      </c>
      <c r="C746" s="3">
        <v>3</v>
      </c>
      <c r="D746" s="3">
        <v>1288</v>
      </c>
      <c r="E746" s="3">
        <v>20</v>
      </c>
      <c r="F746" s="3">
        <v>0</v>
      </c>
    </row>
    <row r="747" spans="2:6">
      <c r="B747" s="3">
        <v>2</v>
      </c>
      <c r="C747" s="3">
        <v>3</v>
      </c>
      <c r="D747" s="3">
        <v>1280</v>
      </c>
      <c r="E747" s="3">
        <v>11</v>
      </c>
      <c r="F747" s="3">
        <v>1.36</v>
      </c>
    </row>
    <row r="748" spans="2:6">
      <c r="B748" s="3">
        <v>2</v>
      </c>
      <c r="C748" s="3">
        <v>3</v>
      </c>
      <c r="D748" s="3">
        <v>1684</v>
      </c>
      <c r="E748" s="3">
        <v>18</v>
      </c>
      <c r="F748" s="3">
        <v>1.08</v>
      </c>
    </row>
    <row r="749" spans="2:6">
      <c r="B749" s="3">
        <v>2</v>
      </c>
      <c r="C749" s="3">
        <v>3</v>
      </c>
      <c r="D749" s="3">
        <v>637</v>
      </c>
      <c r="E749" s="3">
        <v>18</v>
      </c>
      <c r="F749" s="3">
        <v>1.38</v>
      </c>
    </row>
    <row r="750" spans="2:6">
      <c r="B750" s="3">
        <v>2</v>
      </c>
      <c r="C750" s="3">
        <v>3</v>
      </c>
      <c r="D750" s="3">
        <v>1175</v>
      </c>
      <c r="E750" s="3">
        <v>6</v>
      </c>
      <c r="F750" s="3">
        <v>1.71</v>
      </c>
    </row>
    <row r="751" spans="2:6">
      <c r="B751" s="3">
        <v>2</v>
      </c>
      <c r="C751" s="3">
        <v>3</v>
      </c>
      <c r="D751" s="3">
        <v>1042</v>
      </c>
      <c r="E751" s="3">
        <v>12</v>
      </c>
      <c r="F751" s="3">
        <v>1.65</v>
      </c>
    </row>
    <row r="752" spans="2:6">
      <c r="B752" s="3">
        <v>2</v>
      </c>
      <c r="C752" s="3">
        <v>3</v>
      </c>
      <c r="D752" s="3">
        <v>1066</v>
      </c>
      <c r="E752" s="3">
        <v>10</v>
      </c>
      <c r="F752" s="3">
        <v>1.45</v>
      </c>
    </row>
    <row r="753" spans="2:6">
      <c r="B753" s="3">
        <v>2</v>
      </c>
      <c r="C753" s="3">
        <v>3</v>
      </c>
      <c r="D753" s="3">
        <v>2025</v>
      </c>
      <c r="E753" s="3">
        <v>25</v>
      </c>
      <c r="F753" s="3">
        <v>0.75</v>
      </c>
    </row>
    <row r="754" spans="2:6">
      <c r="B754" s="3">
        <v>2</v>
      </c>
      <c r="C754" s="3">
        <v>3</v>
      </c>
      <c r="D754" s="3">
        <v>1318</v>
      </c>
      <c r="E754" s="3">
        <v>16</v>
      </c>
      <c r="F754" s="3">
        <v>1.06</v>
      </c>
    </row>
    <row r="755" spans="2:6">
      <c r="B755" s="3">
        <v>2</v>
      </c>
      <c r="C755" s="3">
        <v>3</v>
      </c>
      <c r="D755" s="3">
        <v>1475</v>
      </c>
      <c r="E755" s="3">
        <v>9</v>
      </c>
      <c r="F755" s="3">
        <v>1.53</v>
      </c>
    </row>
    <row r="756" spans="2:6">
      <c r="B756" s="3">
        <v>2</v>
      </c>
      <c r="C756" s="3">
        <v>3</v>
      </c>
      <c r="D756" s="3">
        <v>779</v>
      </c>
      <c r="E756" s="3">
        <v>8</v>
      </c>
      <c r="F756" s="3">
        <v>0.39</v>
      </c>
    </row>
    <row r="757" spans="2:6">
      <c r="B757" s="3">
        <v>2</v>
      </c>
      <c r="C757" s="3">
        <v>3</v>
      </c>
      <c r="D757" s="3">
        <v>569</v>
      </c>
      <c r="E757" s="3">
        <v>7</v>
      </c>
      <c r="F757" s="3">
        <v>2.04</v>
      </c>
    </row>
    <row r="758" spans="2:6">
      <c r="B758" s="3">
        <v>2</v>
      </c>
      <c r="C758" s="3">
        <v>3</v>
      </c>
      <c r="D758" s="3">
        <v>1356</v>
      </c>
      <c r="E758" s="3">
        <v>7</v>
      </c>
      <c r="F758" s="3">
        <v>1.62</v>
      </c>
    </row>
    <row r="759" spans="2:6">
      <c r="B759" s="3">
        <v>2</v>
      </c>
      <c r="C759" s="3">
        <v>3</v>
      </c>
      <c r="D759" s="3">
        <v>1582</v>
      </c>
      <c r="E759" s="3">
        <v>26</v>
      </c>
      <c r="F759" s="3">
        <v>0.94</v>
      </c>
    </row>
    <row r="760" spans="2:6">
      <c r="B760" s="3">
        <v>2</v>
      </c>
      <c r="C760" s="3">
        <v>3</v>
      </c>
      <c r="D760" s="3">
        <v>1161</v>
      </c>
      <c r="E760" s="3">
        <v>19</v>
      </c>
      <c r="F760" s="3">
        <v>1.78</v>
      </c>
    </row>
    <row r="761" spans="2:6">
      <c r="B761" s="3">
        <v>2</v>
      </c>
      <c r="C761" s="3">
        <v>3</v>
      </c>
      <c r="D761" s="3">
        <v>1307</v>
      </c>
      <c r="E761" s="3">
        <v>7</v>
      </c>
      <c r="F761" s="3">
        <v>2.23</v>
      </c>
    </row>
    <row r="762" spans="2:6">
      <c r="B762" s="3">
        <v>2</v>
      </c>
      <c r="C762" s="3">
        <v>3</v>
      </c>
      <c r="D762" s="3">
        <v>2039</v>
      </c>
      <c r="E762" s="3">
        <v>11</v>
      </c>
      <c r="F762" s="3">
        <v>1.1499999999999999</v>
      </c>
    </row>
    <row r="763" spans="2:6">
      <c r="B763" s="3">
        <v>2</v>
      </c>
      <c r="C763" s="3">
        <v>3</v>
      </c>
      <c r="D763" s="3">
        <v>1458</v>
      </c>
      <c r="E763" s="3">
        <v>13</v>
      </c>
      <c r="F763" s="3">
        <v>1.59</v>
      </c>
    </row>
    <row r="764" spans="2:6">
      <c r="B764" s="3">
        <v>2</v>
      </c>
      <c r="C764" s="3">
        <v>3</v>
      </c>
      <c r="D764" s="3">
        <v>474</v>
      </c>
      <c r="E764" s="3">
        <v>13</v>
      </c>
      <c r="F764" s="3">
        <v>2.08</v>
      </c>
    </row>
    <row r="765" spans="2:6">
      <c r="B765" s="3">
        <v>2</v>
      </c>
      <c r="C765" s="3">
        <v>3</v>
      </c>
      <c r="D765" s="3">
        <v>1249</v>
      </c>
      <c r="E765" s="3">
        <v>17</v>
      </c>
      <c r="F765" s="3">
        <v>2.36</v>
      </c>
    </row>
    <row r="766" spans="2:6">
      <c r="B766" s="3">
        <v>2</v>
      </c>
      <c r="C766" s="3">
        <v>3</v>
      </c>
      <c r="D766" s="3">
        <v>1216</v>
      </c>
      <c r="E766" s="3">
        <v>18</v>
      </c>
      <c r="F766" s="3">
        <v>1.58</v>
      </c>
    </row>
    <row r="767" spans="2:6">
      <c r="B767" s="3">
        <v>2</v>
      </c>
      <c r="C767" s="3">
        <v>3</v>
      </c>
      <c r="D767" s="3">
        <v>1578</v>
      </c>
      <c r="E767" s="3">
        <v>10</v>
      </c>
      <c r="F767" s="3">
        <v>2.5499999999999998</v>
      </c>
    </row>
    <row r="768" spans="2:6">
      <c r="B768" s="3">
        <v>2</v>
      </c>
      <c r="C768" s="3">
        <v>3</v>
      </c>
      <c r="D768" s="3">
        <v>967</v>
      </c>
      <c r="E768" s="3">
        <v>10</v>
      </c>
      <c r="F768" s="3">
        <v>1.81</v>
      </c>
    </row>
    <row r="769" spans="2:6">
      <c r="B769" s="3">
        <v>2</v>
      </c>
      <c r="C769" s="3">
        <v>3</v>
      </c>
      <c r="D769" s="3">
        <v>837</v>
      </c>
      <c r="E769" s="3">
        <v>13</v>
      </c>
      <c r="F769" s="3">
        <v>1.74</v>
      </c>
    </row>
    <row r="770" spans="2:6">
      <c r="B770" s="3">
        <v>2</v>
      </c>
      <c r="C770" s="3">
        <v>3</v>
      </c>
      <c r="D770" s="3">
        <v>1021</v>
      </c>
      <c r="E770" s="3">
        <v>17</v>
      </c>
      <c r="F770" s="3">
        <v>0.95</v>
      </c>
    </row>
    <row r="771" spans="2:6">
      <c r="B771" s="3">
        <v>2</v>
      </c>
      <c r="C771" s="3">
        <v>3</v>
      </c>
      <c r="D771" s="3">
        <v>761</v>
      </c>
      <c r="E771" s="3">
        <v>10</v>
      </c>
      <c r="F771" s="3">
        <v>0.69</v>
      </c>
    </row>
    <row r="772" spans="2:6">
      <c r="B772" s="3">
        <v>2</v>
      </c>
      <c r="C772" s="3">
        <v>3</v>
      </c>
      <c r="D772" s="3">
        <v>1237</v>
      </c>
      <c r="E772" s="3">
        <v>6</v>
      </c>
      <c r="F772" s="3">
        <v>1.22</v>
      </c>
    </row>
    <row r="773" spans="2:6">
      <c r="B773" s="3">
        <v>2</v>
      </c>
      <c r="C773" s="3">
        <v>3</v>
      </c>
      <c r="D773" s="3">
        <v>535</v>
      </c>
      <c r="E773" s="3">
        <v>8</v>
      </c>
      <c r="F773" s="3">
        <v>1.81</v>
      </c>
    </row>
    <row r="774" spans="2:6">
      <c r="B774" s="3">
        <v>2</v>
      </c>
      <c r="C774" s="3">
        <v>3</v>
      </c>
      <c r="D774" s="3">
        <v>912</v>
      </c>
      <c r="E774" s="3">
        <v>20</v>
      </c>
      <c r="F774" s="3">
        <v>2.88</v>
      </c>
    </row>
    <row r="775" spans="2:6">
      <c r="B775" s="3">
        <v>2</v>
      </c>
      <c r="C775" s="3">
        <v>3</v>
      </c>
      <c r="D775" s="3">
        <v>808</v>
      </c>
      <c r="E775" s="3">
        <v>18</v>
      </c>
      <c r="F775" s="3">
        <v>0.97</v>
      </c>
    </row>
    <row r="776" spans="2:6">
      <c r="B776" s="3">
        <v>2</v>
      </c>
      <c r="C776" s="3">
        <v>3</v>
      </c>
      <c r="D776" s="3">
        <v>1518</v>
      </c>
      <c r="E776" s="3">
        <v>21</v>
      </c>
      <c r="F776" s="3">
        <v>1.31</v>
      </c>
    </row>
    <row r="777" spans="2:6">
      <c r="B777" s="3">
        <v>2</v>
      </c>
      <c r="C777" s="3">
        <v>3</v>
      </c>
      <c r="D777" s="3">
        <v>1760</v>
      </c>
      <c r="E777" s="3">
        <v>13</v>
      </c>
      <c r="F777" s="3">
        <v>0.7</v>
      </c>
    </row>
    <row r="778" spans="2:6">
      <c r="B778" s="3">
        <v>2</v>
      </c>
      <c r="C778" s="3">
        <v>3</v>
      </c>
      <c r="D778" s="3">
        <v>990</v>
      </c>
      <c r="E778" s="3">
        <v>11</v>
      </c>
      <c r="F778" s="3">
        <v>0.84</v>
      </c>
    </row>
    <row r="779" spans="2:6">
      <c r="B779" s="3">
        <v>2</v>
      </c>
      <c r="C779" s="3">
        <v>3</v>
      </c>
      <c r="D779" s="3">
        <v>1270</v>
      </c>
      <c r="E779" s="3">
        <v>14</v>
      </c>
      <c r="F779" s="3">
        <v>1.5</v>
      </c>
    </row>
    <row r="780" spans="2:6">
      <c r="B780" s="3">
        <v>2</v>
      </c>
      <c r="C780" s="3">
        <v>3</v>
      </c>
      <c r="D780" s="3">
        <v>1586</v>
      </c>
      <c r="E780" s="3">
        <v>18</v>
      </c>
      <c r="F780" s="3">
        <v>0.86</v>
      </c>
    </row>
    <row r="781" spans="2:6">
      <c r="B781" s="3">
        <v>2</v>
      </c>
      <c r="C781" s="3">
        <v>3</v>
      </c>
      <c r="D781" s="3">
        <v>1242</v>
      </c>
      <c r="E781" s="3">
        <v>23</v>
      </c>
      <c r="F781" s="3">
        <v>1.02</v>
      </c>
    </row>
    <row r="782" spans="2:6">
      <c r="B782" s="3">
        <v>2</v>
      </c>
      <c r="C782" s="3">
        <v>3</v>
      </c>
      <c r="D782" s="3">
        <v>1116</v>
      </c>
      <c r="E782" s="3">
        <v>15</v>
      </c>
      <c r="F782" s="3">
        <v>1.21</v>
      </c>
    </row>
    <row r="783" spans="2:6">
      <c r="B783" s="3">
        <v>2</v>
      </c>
      <c r="C783" s="3">
        <v>3</v>
      </c>
      <c r="D783" s="3">
        <v>962</v>
      </c>
      <c r="E783" s="3">
        <v>18</v>
      </c>
      <c r="F783" s="3">
        <v>2.1</v>
      </c>
    </row>
    <row r="784" spans="2:6">
      <c r="B784" s="3">
        <v>2</v>
      </c>
      <c r="C784" s="3">
        <v>3</v>
      </c>
      <c r="D784" s="3">
        <v>1067</v>
      </c>
      <c r="E784" s="3">
        <v>16</v>
      </c>
      <c r="F784" s="3">
        <v>0.78</v>
      </c>
    </row>
    <row r="785" spans="2:6">
      <c r="B785" s="3">
        <v>2</v>
      </c>
      <c r="C785" s="3">
        <v>3</v>
      </c>
      <c r="D785" s="3">
        <v>1644</v>
      </c>
      <c r="E785" s="3">
        <v>12</v>
      </c>
      <c r="F785" s="3">
        <v>1.1200000000000001</v>
      </c>
    </row>
    <row r="786" spans="2:6">
      <c r="B786" s="3">
        <v>2</v>
      </c>
      <c r="C786" s="3">
        <v>3</v>
      </c>
      <c r="D786" s="3">
        <v>717</v>
      </c>
      <c r="E786" s="3">
        <v>9</v>
      </c>
      <c r="F786" s="3">
        <v>1.64</v>
      </c>
    </row>
    <row r="787" spans="2:6">
      <c r="B787" s="3">
        <v>2</v>
      </c>
      <c r="C787" s="3">
        <v>3</v>
      </c>
      <c r="D787" s="3">
        <v>1462</v>
      </c>
      <c r="E787" s="3">
        <v>4</v>
      </c>
      <c r="F787" s="3">
        <v>1.81</v>
      </c>
    </row>
    <row r="788" spans="2:6">
      <c r="B788" s="3">
        <v>2</v>
      </c>
      <c r="C788" s="3">
        <v>3</v>
      </c>
      <c r="D788" s="3">
        <v>868</v>
      </c>
      <c r="E788" s="3">
        <v>19</v>
      </c>
      <c r="F788" s="3">
        <v>3.08</v>
      </c>
    </row>
    <row r="789" spans="2:6">
      <c r="B789" s="3">
        <v>2</v>
      </c>
      <c r="C789" s="3">
        <v>3</v>
      </c>
      <c r="D789" s="3">
        <v>1568</v>
      </c>
      <c r="E789" s="3">
        <v>8</v>
      </c>
      <c r="F789" s="3">
        <v>0.99</v>
      </c>
    </row>
    <row r="790" spans="2:6">
      <c r="B790" s="3">
        <v>2</v>
      </c>
      <c r="C790" s="3">
        <v>3</v>
      </c>
      <c r="D790" s="3">
        <v>820</v>
      </c>
      <c r="E790" s="3">
        <v>11</v>
      </c>
      <c r="F790" s="3">
        <v>0.86</v>
      </c>
    </row>
    <row r="791" spans="2:6">
      <c r="B791" s="3">
        <v>2</v>
      </c>
      <c r="C791" s="3">
        <v>3</v>
      </c>
      <c r="D791" s="3">
        <v>1396</v>
      </c>
      <c r="E791" s="3">
        <v>16</v>
      </c>
      <c r="F791" s="3">
        <v>1.08</v>
      </c>
    </row>
    <row r="792" spans="2:6">
      <c r="B792" s="3">
        <v>2</v>
      </c>
      <c r="C792" s="3">
        <v>3</v>
      </c>
      <c r="D792" s="3">
        <v>1378</v>
      </c>
      <c r="E792" s="3">
        <v>14</v>
      </c>
      <c r="F792" s="3">
        <v>1.27</v>
      </c>
    </row>
    <row r="793" spans="2:6">
      <c r="B793" s="3">
        <v>2</v>
      </c>
      <c r="C793" s="3">
        <v>3</v>
      </c>
      <c r="D793" s="3">
        <v>1472</v>
      </c>
      <c r="E793" s="3">
        <v>7</v>
      </c>
      <c r="F793" s="3">
        <v>0.48</v>
      </c>
    </row>
    <row r="794" spans="2:6">
      <c r="B794" s="3">
        <v>2</v>
      </c>
      <c r="C794" s="3">
        <v>3</v>
      </c>
      <c r="D794" s="3">
        <v>1276</v>
      </c>
      <c r="E794" s="3">
        <v>19</v>
      </c>
      <c r="F794" s="3">
        <v>0.17</v>
      </c>
    </row>
    <row r="795" spans="2:6">
      <c r="B795" s="3">
        <v>2</v>
      </c>
      <c r="C795" s="3">
        <v>3</v>
      </c>
      <c r="D795" s="3">
        <v>1518</v>
      </c>
      <c r="E795" s="3">
        <v>14</v>
      </c>
      <c r="F795" s="3">
        <v>0.94</v>
      </c>
    </row>
    <row r="796" spans="2:6">
      <c r="B796" s="3">
        <v>2</v>
      </c>
      <c r="C796" s="3">
        <v>3</v>
      </c>
      <c r="D796" s="3">
        <v>1497</v>
      </c>
      <c r="E796" s="3">
        <v>12</v>
      </c>
      <c r="F796" s="3">
        <v>1.9</v>
      </c>
    </row>
    <row r="797" spans="2:6">
      <c r="B797" s="3">
        <v>2</v>
      </c>
      <c r="C797" s="3">
        <v>3</v>
      </c>
      <c r="D797" s="3">
        <v>1175</v>
      </c>
      <c r="E797" s="3">
        <v>7</v>
      </c>
      <c r="F797" s="3">
        <v>0.99</v>
      </c>
    </row>
    <row r="798" spans="2:6">
      <c r="B798" s="3">
        <v>2</v>
      </c>
      <c r="C798" s="3">
        <v>3</v>
      </c>
      <c r="D798" s="3">
        <v>1536</v>
      </c>
      <c r="E798" s="3">
        <v>8</v>
      </c>
      <c r="F798" s="3">
        <v>1.1499999999999999</v>
      </c>
    </row>
    <row r="799" spans="2:6">
      <c r="B799" s="3">
        <v>2</v>
      </c>
      <c r="C799" s="3">
        <v>3</v>
      </c>
      <c r="D799" s="3">
        <v>921</v>
      </c>
      <c r="E799" s="3">
        <v>6</v>
      </c>
      <c r="F799" s="3">
        <v>0.64</v>
      </c>
    </row>
    <row r="800" spans="2:6">
      <c r="B800" s="3">
        <v>2</v>
      </c>
      <c r="C800" s="3">
        <v>3</v>
      </c>
      <c r="D800" s="3">
        <v>970</v>
      </c>
      <c r="E800" s="3">
        <v>8</v>
      </c>
      <c r="F800" s="3">
        <v>1.03</v>
      </c>
    </row>
    <row r="801" spans="2:6">
      <c r="B801" s="3">
        <v>2</v>
      </c>
      <c r="C801" s="3">
        <v>3</v>
      </c>
      <c r="D801" s="3">
        <v>1188</v>
      </c>
      <c r="E801" s="3">
        <v>1</v>
      </c>
      <c r="F801" s="3">
        <v>0.52</v>
      </c>
    </row>
    <row r="802" spans="2:6">
      <c r="B802" s="3">
        <v>2</v>
      </c>
      <c r="C802" s="3">
        <v>3</v>
      </c>
      <c r="D802" s="3">
        <v>634</v>
      </c>
      <c r="E802" s="3">
        <v>21</v>
      </c>
      <c r="F802" s="3">
        <v>1.81</v>
      </c>
    </row>
    <row r="803" spans="2:6">
      <c r="B803" s="3">
        <v>2</v>
      </c>
      <c r="C803" s="3">
        <v>3</v>
      </c>
      <c r="D803" s="3">
        <v>911</v>
      </c>
      <c r="E803" s="3">
        <v>3</v>
      </c>
      <c r="F803" s="3">
        <v>1.19</v>
      </c>
    </row>
    <row r="804" spans="2:6">
      <c r="B804" s="3">
        <v>2</v>
      </c>
      <c r="C804" s="3">
        <v>3</v>
      </c>
      <c r="D804" s="3">
        <v>547</v>
      </c>
      <c r="E804" s="3">
        <v>9</v>
      </c>
      <c r="F804" s="3">
        <v>0.91</v>
      </c>
    </row>
    <row r="805" spans="2:6">
      <c r="B805" s="3">
        <v>2</v>
      </c>
      <c r="C805" s="3">
        <v>3</v>
      </c>
      <c r="D805" s="3">
        <v>1477</v>
      </c>
      <c r="E805" s="3">
        <v>8</v>
      </c>
      <c r="F805" s="3">
        <v>1.68</v>
      </c>
    </row>
    <row r="806" spans="2:6">
      <c r="B806" s="3">
        <v>2</v>
      </c>
      <c r="C806" s="3">
        <v>3</v>
      </c>
      <c r="D806" s="3">
        <v>1882</v>
      </c>
      <c r="E806" s="3">
        <v>1</v>
      </c>
      <c r="F806" s="3">
        <v>1.45</v>
      </c>
    </row>
    <row r="807" spans="2:6">
      <c r="B807" s="3">
        <v>2</v>
      </c>
      <c r="C807" s="3">
        <v>3</v>
      </c>
      <c r="D807" s="3">
        <v>1356</v>
      </c>
      <c r="E807" s="3">
        <v>19</v>
      </c>
      <c r="F807" s="3">
        <v>1.82</v>
      </c>
    </row>
    <row r="808" spans="2:6">
      <c r="B808" s="3">
        <v>2</v>
      </c>
      <c r="C808" s="3">
        <v>3</v>
      </c>
      <c r="D808" s="3">
        <v>704</v>
      </c>
      <c r="E808" s="3">
        <v>6</v>
      </c>
      <c r="F808" s="3">
        <v>1.71</v>
      </c>
    </row>
    <row r="809" spans="2:6">
      <c r="B809" s="3">
        <v>2</v>
      </c>
      <c r="C809" s="3">
        <v>3</v>
      </c>
      <c r="D809" s="3">
        <v>1109</v>
      </c>
      <c r="E809" s="3">
        <v>14</v>
      </c>
      <c r="F809" s="3">
        <v>1.32</v>
      </c>
    </row>
    <row r="810" spans="2:6">
      <c r="B810" s="3">
        <v>2</v>
      </c>
      <c r="C810" s="3">
        <v>3</v>
      </c>
      <c r="D810" s="3">
        <v>1049</v>
      </c>
      <c r="E810" s="3">
        <v>8</v>
      </c>
      <c r="F810" s="3">
        <v>2.16</v>
      </c>
    </row>
    <row r="811" spans="2:6">
      <c r="B811" s="3">
        <v>2</v>
      </c>
      <c r="C811" s="3">
        <v>3</v>
      </c>
      <c r="D811" s="3">
        <v>1041</v>
      </c>
      <c r="E811" s="3">
        <v>2</v>
      </c>
      <c r="F811" s="3">
        <v>0.88</v>
      </c>
    </row>
    <row r="812" spans="2:6">
      <c r="B812" s="3">
        <v>2</v>
      </c>
      <c r="C812" s="3">
        <v>3</v>
      </c>
      <c r="D812" s="3">
        <v>1734</v>
      </c>
      <c r="E812" s="3">
        <v>16</v>
      </c>
      <c r="F812" s="3">
        <v>1.48</v>
      </c>
    </row>
    <row r="813" spans="2:6">
      <c r="B813" s="3">
        <v>2</v>
      </c>
      <c r="C813" s="3">
        <v>3</v>
      </c>
      <c r="D813" s="3">
        <v>1144</v>
      </c>
      <c r="E813" s="3">
        <v>19</v>
      </c>
      <c r="F813" s="3">
        <v>1.27</v>
      </c>
    </row>
    <row r="814" spans="2:6">
      <c r="B814" s="3">
        <v>2</v>
      </c>
      <c r="C814" s="3">
        <v>3</v>
      </c>
      <c r="D814" s="3">
        <v>1130</v>
      </c>
      <c r="E814" s="3">
        <v>21</v>
      </c>
      <c r="F814" s="3">
        <v>0.45</v>
      </c>
    </row>
    <row r="815" spans="2:6">
      <c r="B815" s="3">
        <v>2</v>
      </c>
      <c r="C815" s="3">
        <v>3</v>
      </c>
      <c r="D815" s="3">
        <v>780</v>
      </c>
      <c r="E815" s="3">
        <v>14</v>
      </c>
      <c r="F815" s="3">
        <v>0.93</v>
      </c>
    </row>
    <row r="816" spans="2:6">
      <c r="B816" s="3">
        <v>2</v>
      </c>
      <c r="C816" s="3">
        <v>3</v>
      </c>
      <c r="D816" s="3">
        <v>1627</v>
      </c>
      <c r="E816" s="3">
        <v>7</v>
      </c>
      <c r="F816" s="3">
        <v>2.21</v>
      </c>
    </row>
    <row r="817" spans="2:6">
      <c r="B817" s="3">
        <v>2</v>
      </c>
      <c r="C817" s="3">
        <v>3</v>
      </c>
      <c r="D817" s="3">
        <v>1909</v>
      </c>
      <c r="E817" s="3">
        <v>17</v>
      </c>
      <c r="F817" s="3">
        <v>1.21</v>
      </c>
    </row>
    <row r="818" spans="2:6">
      <c r="B818" s="3">
        <v>2</v>
      </c>
      <c r="C818" s="3">
        <v>3</v>
      </c>
      <c r="D818" s="3">
        <v>1471</v>
      </c>
      <c r="E818" s="3">
        <v>7</v>
      </c>
      <c r="F818" s="3">
        <v>1.85</v>
      </c>
    </row>
    <row r="819" spans="2:6">
      <c r="B819" s="3">
        <v>2</v>
      </c>
      <c r="C819" s="3">
        <v>3</v>
      </c>
      <c r="D819" s="3">
        <v>1196</v>
      </c>
      <c r="E819" s="3">
        <v>14</v>
      </c>
      <c r="F819" s="3">
        <v>1.32</v>
      </c>
    </row>
    <row r="820" spans="2:6">
      <c r="B820" s="3">
        <v>2</v>
      </c>
      <c r="C820" s="3">
        <v>3</v>
      </c>
      <c r="D820" s="3">
        <v>1181</v>
      </c>
      <c r="E820" s="3">
        <v>22</v>
      </c>
      <c r="F820" s="3">
        <v>0.56000000000000005</v>
      </c>
    </row>
    <row r="821" spans="2:6">
      <c r="B821" s="3">
        <v>2</v>
      </c>
      <c r="C821" s="3">
        <v>3</v>
      </c>
      <c r="D821" s="3">
        <v>1346</v>
      </c>
      <c r="E821" s="3">
        <v>10</v>
      </c>
      <c r="F821" s="3">
        <v>0</v>
      </c>
    </row>
    <row r="822" spans="2:6">
      <c r="B822" s="3">
        <v>2</v>
      </c>
      <c r="C822" s="3">
        <v>3</v>
      </c>
      <c r="D822" s="3">
        <v>1510</v>
      </c>
      <c r="E822" s="3">
        <v>11</v>
      </c>
      <c r="F822" s="3">
        <v>0.75</v>
      </c>
    </row>
    <row r="823" spans="2:6">
      <c r="B823" s="3">
        <v>2</v>
      </c>
      <c r="C823" s="3">
        <v>3</v>
      </c>
      <c r="D823" s="3">
        <v>1521</v>
      </c>
      <c r="E823" s="3">
        <v>7</v>
      </c>
      <c r="F823" s="3">
        <v>1.1299999999999999</v>
      </c>
    </row>
    <row r="824" spans="2:6">
      <c r="B824" s="3">
        <v>2</v>
      </c>
      <c r="C824" s="3">
        <v>3</v>
      </c>
      <c r="D824" s="3">
        <v>1494</v>
      </c>
      <c r="E824" s="3">
        <v>16</v>
      </c>
      <c r="F824" s="3">
        <v>0.7</v>
      </c>
    </row>
    <row r="825" spans="2:6">
      <c r="B825" s="3">
        <v>2</v>
      </c>
      <c r="C825" s="3">
        <v>3</v>
      </c>
      <c r="D825" s="3">
        <v>1043</v>
      </c>
      <c r="E825" s="3">
        <v>7</v>
      </c>
      <c r="F825" s="3">
        <v>1.34</v>
      </c>
    </row>
    <row r="826" spans="2:6">
      <c r="B826" s="3">
        <v>2</v>
      </c>
      <c r="C826" s="3">
        <v>3</v>
      </c>
      <c r="D826" s="3">
        <v>1452</v>
      </c>
      <c r="E826" s="3">
        <v>5</v>
      </c>
      <c r="F826" s="3">
        <v>0.04</v>
      </c>
    </row>
    <row r="827" spans="2:6">
      <c r="B827" s="3">
        <v>2</v>
      </c>
      <c r="C827" s="3">
        <v>3</v>
      </c>
      <c r="D827" s="3">
        <v>999</v>
      </c>
      <c r="E827" s="3">
        <v>14</v>
      </c>
      <c r="F827" s="3">
        <v>2.0699999999999998</v>
      </c>
    </row>
    <row r="828" spans="2:6">
      <c r="B828" s="3">
        <v>2</v>
      </c>
      <c r="C828" s="3">
        <v>3</v>
      </c>
      <c r="D828" s="3">
        <v>630</v>
      </c>
      <c r="E828" s="3">
        <v>1</v>
      </c>
      <c r="F828" s="3">
        <v>2.86</v>
      </c>
    </row>
    <row r="829" spans="2:6">
      <c r="B829" s="3">
        <v>2</v>
      </c>
      <c r="C829" s="3">
        <v>3</v>
      </c>
      <c r="D829" s="3">
        <v>1995</v>
      </c>
      <c r="E829" s="3">
        <v>8</v>
      </c>
      <c r="F829" s="3">
        <v>1.1599999999999999</v>
      </c>
    </row>
    <row r="830" spans="2:6">
      <c r="B830" s="3">
        <v>2</v>
      </c>
      <c r="C830" s="3">
        <v>3</v>
      </c>
      <c r="D830" s="3">
        <v>620</v>
      </c>
      <c r="E830" s="3">
        <v>4</v>
      </c>
      <c r="F830" s="3">
        <v>2.2999999999999998</v>
      </c>
    </row>
    <row r="831" spans="2:6">
      <c r="B831" s="3">
        <v>2</v>
      </c>
      <c r="C831" s="3">
        <v>3</v>
      </c>
      <c r="D831" s="3">
        <v>1522</v>
      </c>
      <c r="E831" s="3">
        <v>9</v>
      </c>
      <c r="F831" s="3">
        <v>0.35</v>
      </c>
    </row>
    <row r="832" spans="2:6">
      <c r="B832" s="3">
        <v>2</v>
      </c>
      <c r="C832" s="3">
        <v>3</v>
      </c>
      <c r="D832" s="3">
        <v>1283</v>
      </c>
      <c r="E832" s="3">
        <v>7</v>
      </c>
      <c r="F832" s="3">
        <v>1.31</v>
      </c>
    </row>
    <row r="833" spans="2:6">
      <c r="B833" s="3">
        <v>2</v>
      </c>
      <c r="C833" s="3">
        <v>3</v>
      </c>
      <c r="D833" s="3">
        <v>1054</v>
      </c>
      <c r="E833" s="3">
        <v>18</v>
      </c>
      <c r="F833" s="3">
        <v>0.91</v>
      </c>
    </row>
    <row r="834" spans="2:6">
      <c r="B834" s="3">
        <v>2</v>
      </c>
      <c r="C834" s="3">
        <v>3</v>
      </c>
      <c r="D834" s="3">
        <v>771</v>
      </c>
      <c r="E834" s="3">
        <v>11</v>
      </c>
      <c r="F834" s="3">
        <v>1.9</v>
      </c>
    </row>
    <row r="835" spans="2:6">
      <c r="B835" s="3">
        <v>2</v>
      </c>
      <c r="C835" s="3">
        <v>3</v>
      </c>
      <c r="D835" s="3">
        <v>2214</v>
      </c>
      <c r="E835" s="3">
        <v>20</v>
      </c>
      <c r="F835" s="3">
        <v>0.56999999999999995</v>
      </c>
    </row>
    <row r="836" spans="2:6">
      <c r="B836" s="3">
        <v>2</v>
      </c>
      <c r="C836" s="3">
        <v>3</v>
      </c>
      <c r="D836" s="3">
        <v>1068</v>
      </c>
      <c r="E836" s="3">
        <v>1</v>
      </c>
      <c r="F836" s="3">
        <v>0.93</v>
      </c>
    </row>
    <row r="837" spans="2:6">
      <c r="B837" s="3">
        <v>2</v>
      </c>
      <c r="C837" s="3">
        <v>3</v>
      </c>
      <c r="D837" s="3">
        <v>610</v>
      </c>
      <c r="E837" s="3">
        <v>18</v>
      </c>
      <c r="F837" s="3">
        <v>1.93</v>
      </c>
    </row>
    <row r="838" spans="2:6">
      <c r="B838" s="3">
        <v>2</v>
      </c>
      <c r="C838" s="3">
        <v>3</v>
      </c>
      <c r="D838" s="3">
        <v>1577</v>
      </c>
      <c r="E838" s="3">
        <v>16</v>
      </c>
      <c r="F838" s="3">
        <v>1.34</v>
      </c>
    </row>
    <row r="839" spans="2:6">
      <c r="B839" s="3">
        <v>2</v>
      </c>
      <c r="C839" s="3">
        <v>3</v>
      </c>
      <c r="D839" s="3">
        <v>1376</v>
      </c>
      <c r="E839" s="3">
        <v>16</v>
      </c>
      <c r="F839" s="3">
        <v>0.4</v>
      </c>
    </row>
    <row r="840" spans="2:6">
      <c r="B840" s="3">
        <v>2</v>
      </c>
      <c r="C840" s="3">
        <v>3</v>
      </c>
      <c r="D840" s="3">
        <v>1334</v>
      </c>
      <c r="E840" s="3">
        <v>9</v>
      </c>
      <c r="F840" s="3">
        <v>1.91</v>
      </c>
    </row>
    <row r="841" spans="2:6">
      <c r="B841" s="3">
        <v>2</v>
      </c>
      <c r="C841" s="3">
        <v>3</v>
      </c>
      <c r="D841" s="3">
        <v>585</v>
      </c>
      <c r="E841" s="3">
        <v>11</v>
      </c>
      <c r="F841" s="3">
        <v>0</v>
      </c>
    </row>
    <row r="842" spans="2:6">
      <c r="B842" s="3">
        <v>2</v>
      </c>
      <c r="C842" s="3">
        <v>3</v>
      </c>
      <c r="D842" s="3">
        <v>984</v>
      </c>
      <c r="E842" s="3">
        <v>5</v>
      </c>
      <c r="F842" s="3">
        <v>1.08</v>
      </c>
    </row>
    <row r="843" spans="2:6">
      <c r="B843" s="3">
        <v>2</v>
      </c>
      <c r="C843" s="3">
        <v>3</v>
      </c>
      <c r="D843" s="3">
        <v>972</v>
      </c>
      <c r="E843" s="3">
        <v>1</v>
      </c>
      <c r="F843" s="3">
        <v>1.81</v>
      </c>
    </row>
    <row r="844" spans="2:6">
      <c r="B844" s="3">
        <v>2</v>
      </c>
      <c r="C844" s="3">
        <v>3</v>
      </c>
      <c r="D844" s="3">
        <v>1643</v>
      </c>
      <c r="E844" s="3">
        <v>14</v>
      </c>
      <c r="F844" s="3">
        <v>1.54</v>
      </c>
    </row>
    <row r="845" spans="2:6">
      <c r="B845" s="3">
        <v>2</v>
      </c>
      <c r="C845" s="3">
        <v>3</v>
      </c>
      <c r="D845" s="3">
        <v>1183</v>
      </c>
      <c r="E845" s="3">
        <v>9</v>
      </c>
      <c r="F845" s="3">
        <v>0.8</v>
      </c>
    </row>
    <row r="846" spans="2:6">
      <c r="B846" s="3">
        <v>2</v>
      </c>
      <c r="C846" s="3">
        <v>3</v>
      </c>
      <c r="D846" s="3">
        <v>88</v>
      </c>
      <c r="E846" s="3">
        <v>6</v>
      </c>
      <c r="F846" s="3">
        <v>2.5299999999999998</v>
      </c>
    </row>
    <row r="847" spans="2:6">
      <c r="B847" s="3">
        <v>2</v>
      </c>
      <c r="C847" s="3">
        <v>3</v>
      </c>
      <c r="D847" s="3">
        <v>1119</v>
      </c>
      <c r="E847" s="3">
        <v>21</v>
      </c>
      <c r="F847" s="3">
        <v>1.97</v>
      </c>
    </row>
    <row r="848" spans="2:6">
      <c r="B848" s="3">
        <v>2</v>
      </c>
      <c r="C848" s="3">
        <v>3</v>
      </c>
      <c r="D848" s="3">
        <v>1717</v>
      </c>
      <c r="E848" s="3">
        <v>11</v>
      </c>
      <c r="F848" s="3">
        <v>1.54</v>
      </c>
    </row>
    <row r="849" spans="2:6">
      <c r="B849" s="3">
        <v>2</v>
      </c>
      <c r="C849" s="3">
        <v>3</v>
      </c>
      <c r="D849" s="3">
        <v>1453</v>
      </c>
      <c r="E849" s="3">
        <v>14</v>
      </c>
      <c r="F849" s="3">
        <v>1.01</v>
      </c>
    </row>
    <row r="850" spans="2:6">
      <c r="B850" s="3">
        <v>2</v>
      </c>
      <c r="C850" s="3">
        <v>3</v>
      </c>
      <c r="D850" s="3">
        <v>1095</v>
      </c>
      <c r="E850" s="3">
        <v>10</v>
      </c>
      <c r="F850" s="3">
        <v>0.96</v>
      </c>
    </row>
    <row r="851" spans="2:6">
      <c r="B851" s="3">
        <v>2</v>
      </c>
      <c r="C851" s="3">
        <v>3</v>
      </c>
      <c r="D851" s="3">
        <v>1161</v>
      </c>
      <c r="E851" s="3">
        <v>8</v>
      </c>
      <c r="F851" s="3">
        <v>1.22</v>
      </c>
    </row>
    <row r="852" spans="2:6">
      <c r="B852" s="3">
        <v>2</v>
      </c>
      <c r="C852" s="3">
        <v>3</v>
      </c>
      <c r="D852" s="3">
        <v>1335</v>
      </c>
      <c r="E852" s="3">
        <v>7</v>
      </c>
      <c r="F852" s="3">
        <v>0.66</v>
      </c>
    </row>
    <row r="853" spans="2:6">
      <c r="B853" s="3">
        <v>2</v>
      </c>
      <c r="C853" s="3">
        <v>3</v>
      </c>
      <c r="D853" s="3">
        <v>1433</v>
      </c>
      <c r="E853" s="3">
        <v>18</v>
      </c>
      <c r="F853" s="3">
        <v>0.5</v>
      </c>
    </row>
    <row r="854" spans="2:6">
      <c r="B854" s="3">
        <v>2</v>
      </c>
      <c r="C854" s="3">
        <v>3</v>
      </c>
      <c r="D854" s="3">
        <v>1005</v>
      </c>
      <c r="E854" s="3">
        <v>19</v>
      </c>
      <c r="F854" s="3">
        <v>0.28000000000000003</v>
      </c>
    </row>
    <row r="855" spans="2:6">
      <c r="B855" s="3">
        <v>2</v>
      </c>
      <c r="C855" s="3">
        <v>3</v>
      </c>
      <c r="D855" s="3">
        <v>1407</v>
      </c>
      <c r="E855" s="3">
        <v>19</v>
      </c>
      <c r="F855" s="3">
        <v>1.22</v>
      </c>
    </row>
    <row r="856" spans="2:6">
      <c r="B856" s="3">
        <v>2</v>
      </c>
      <c r="C856" s="3">
        <v>3</v>
      </c>
      <c r="D856" s="3">
        <v>1319</v>
      </c>
      <c r="E856" s="3">
        <v>15</v>
      </c>
      <c r="F856" s="3">
        <v>1.29</v>
      </c>
    </row>
    <row r="857" spans="2:6">
      <c r="B857" s="3">
        <v>2</v>
      </c>
      <c r="C857" s="3">
        <v>3</v>
      </c>
      <c r="D857" s="3">
        <v>1279</v>
      </c>
      <c r="E857" s="3">
        <v>16</v>
      </c>
      <c r="F857" s="3">
        <v>0.63</v>
      </c>
    </row>
    <row r="858" spans="2:6">
      <c r="B858" s="3">
        <v>2</v>
      </c>
      <c r="C858" s="3">
        <v>3</v>
      </c>
      <c r="D858" s="3">
        <v>1210</v>
      </c>
      <c r="E858" s="3">
        <v>14</v>
      </c>
      <c r="F858" s="3">
        <v>1.91</v>
      </c>
    </row>
    <row r="859" spans="2:6">
      <c r="B859" s="3">
        <v>2</v>
      </c>
      <c r="C859" s="3">
        <v>3</v>
      </c>
      <c r="D859" s="3">
        <v>1460</v>
      </c>
      <c r="E859" s="3">
        <v>1</v>
      </c>
      <c r="F859" s="3">
        <v>2.08</v>
      </c>
    </row>
    <row r="860" spans="2:6">
      <c r="B860" s="3">
        <v>2</v>
      </c>
      <c r="C860" s="3">
        <v>3</v>
      </c>
      <c r="D860" s="3">
        <v>1138</v>
      </c>
      <c r="E860" s="3">
        <v>16</v>
      </c>
      <c r="F860" s="3">
        <v>1.1200000000000001</v>
      </c>
    </row>
    <row r="861" spans="2:6">
      <c r="B861" s="3">
        <v>2</v>
      </c>
      <c r="C861" s="3">
        <v>3</v>
      </c>
      <c r="D861" s="3">
        <v>1348</v>
      </c>
      <c r="E861" s="3">
        <v>4</v>
      </c>
      <c r="F861" s="3">
        <v>0</v>
      </c>
    </row>
    <row r="862" spans="2:6">
      <c r="B862" s="3">
        <v>2</v>
      </c>
      <c r="C862" s="3">
        <v>3</v>
      </c>
      <c r="D862" s="3">
        <v>1782</v>
      </c>
      <c r="E862" s="3">
        <v>13</v>
      </c>
      <c r="F862" s="3">
        <v>0.94</v>
      </c>
    </row>
    <row r="863" spans="2:6">
      <c r="B863" s="3">
        <v>2</v>
      </c>
      <c r="C863" s="3">
        <v>3</v>
      </c>
      <c r="D863" s="3">
        <v>1220</v>
      </c>
      <c r="E863" s="3">
        <v>8</v>
      </c>
      <c r="F863" s="3">
        <v>1.54</v>
      </c>
    </row>
    <row r="864" spans="2:6">
      <c r="B864" s="3">
        <v>2</v>
      </c>
      <c r="C864" s="3">
        <v>3</v>
      </c>
      <c r="D864" s="3">
        <v>1327</v>
      </c>
      <c r="E864" s="3">
        <v>9</v>
      </c>
      <c r="F864" s="3">
        <v>1.24</v>
      </c>
    </row>
    <row r="865" spans="2:6">
      <c r="B865" s="3">
        <v>2</v>
      </c>
      <c r="C865" s="3">
        <v>3</v>
      </c>
      <c r="D865" s="3">
        <v>791</v>
      </c>
      <c r="E865" s="3">
        <v>13</v>
      </c>
      <c r="F865" s="3">
        <v>1.68</v>
      </c>
    </row>
    <row r="866" spans="2:6">
      <c r="B866" s="3">
        <v>2</v>
      </c>
      <c r="C866" s="3">
        <v>3</v>
      </c>
      <c r="D866" s="3">
        <v>1493</v>
      </c>
      <c r="E866" s="3">
        <v>13</v>
      </c>
      <c r="F866" s="3">
        <v>0.63</v>
      </c>
    </row>
    <row r="867" spans="2:6">
      <c r="B867" s="3">
        <v>2</v>
      </c>
      <c r="C867" s="3">
        <v>3</v>
      </c>
      <c r="D867" s="3">
        <v>1498</v>
      </c>
      <c r="E867" s="3">
        <v>16</v>
      </c>
      <c r="F867" s="3">
        <v>0.96</v>
      </c>
    </row>
    <row r="868" spans="2:6">
      <c r="B868" s="3">
        <v>2</v>
      </c>
      <c r="C868" s="3">
        <v>3</v>
      </c>
      <c r="D868" s="3">
        <v>1121</v>
      </c>
      <c r="E868" s="3">
        <v>10</v>
      </c>
      <c r="F868" s="3">
        <v>1.28</v>
      </c>
    </row>
    <row r="869" spans="2:6">
      <c r="B869" s="3">
        <v>2</v>
      </c>
      <c r="C869" s="3">
        <v>3</v>
      </c>
      <c r="D869" s="3">
        <v>1253</v>
      </c>
      <c r="E869" s="3">
        <v>15</v>
      </c>
      <c r="F869" s="3">
        <v>1.53</v>
      </c>
    </row>
    <row r="870" spans="2:6">
      <c r="B870" s="3">
        <v>2</v>
      </c>
      <c r="C870" s="3">
        <v>3</v>
      </c>
      <c r="D870" s="3">
        <v>1738</v>
      </c>
      <c r="E870" s="3">
        <v>17</v>
      </c>
      <c r="F870" s="3">
        <v>1.86</v>
      </c>
    </row>
    <row r="871" spans="2:6">
      <c r="B871" s="3">
        <v>2</v>
      </c>
      <c r="C871" s="3">
        <v>3</v>
      </c>
      <c r="D871" s="3">
        <v>1409</v>
      </c>
      <c r="E871" s="3">
        <v>18</v>
      </c>
      <c r="F871" s="3">
        <v>0.97</v>
      </c>
    </row>
    <row r="872" spans="2:6">
      <c r="B872" s="3">
        <v>2</v>
      </c>
      <c r="C872" s="3">
        <v>3</v>
      </c>
      <c r="D872" s="3">
        <v>1018</v>
      </c>
      <c r="E872" s="3">
        <v>12</v>
      </c>
      <c r="F872" s="3">
        <v>1.4</v>
      </c>
    </row>
    <row r="873" spans="2:6">
      <c r="B873" s="3">
        <v>2</v>
      </c>
      <c r="C873" s="3">
        <v>3</v>
      </c>
      <c r="D873" s="3">
        <v>1663</v>
      </c>
      <c r="E873" s="3">
        <v>12</v>
      </c>
      <c r="F873" s="3">
        <v>0.38</v>
      </c>
    </row>
    <row r="874" spans="2:6">
      <c r="B874" s="3">
        <v>2</v>
      </c>
      <c r="C874" s="3">
        <v>3</v>
      </c>
      <c r="D874" s="3">
        <v>882</v>
      </c>
      <c r="E874" s="3">
        <v>10</v>
      </c>
      <c r="F874" s="3">
        <v>1.32</v>
      </c>
    </row>
    <row r="875" spans="2:6">
      <c r="B875" s="3">
        <v>2</v>
      </c>
      <c r="C875" s="3">
        <v>3</v>
      </c>
      <c r="D875" s="3">
        <v>1245</v>
      </c>
      <c r="E875" s="3">
        <v>13</v>
      </c>
      <c r="F875" s="3">
        <v>1.42</v>
      </c>
    </row>
    <row r="876" spans="2:6">
      <c r="B876" s="3">
        <v>2</v>
      </c>
      <c r="C876" s="3">
        <v>3</v>
      </c>
      <c r="D876" s="3">
        <v>723</v>
      </c>
      <c r="E876" s="3">
        <v>3</v>
      </c>
      <c r="F876" s="3">
        <v>2.84</v>
      </c>
    </row>
    <row r="877" spans="2:6">
      <c r="B877" s="3">
        <v>2</v>
      </c>
      <c r="C877" s="3">
        <v>3</v>
      </c>
      <c r="D877" s="3">
        <v>1423</v>
      </c>
      <c r="E877" s="3">
        <v>11</v>
      </c>
      <c r="F877" s="3">
        <v>1</v>
      </c>
    </row>
    <row r="878" spans="2:6">
      <c r="B878" s="3">
        <v>2</v>
      </c>
      <c r="C878" s="3">
        <v>3</v>
      </c>
      <c r="D878" s="3">
        <v>1334</v>
      </c>
      <c r="E878" s="3">
        <v>23</v>
      </c>
      <c r="F878" s="3">
        <v>0.46</v>
      </c>
    </row>
    <row r="879" spans="2:6">
      <c r="B879" s="3">
        <v>2</v>
      </c>
      <c r="C879" s="3">
        <v>3</v>
      </c>
      <c r="D879" s="3">
        <v>578</v>
      </c>
      <c r="E879" s="3">
        <v>20</v>
      </c>
      <c r="F879" s="3">
        <v>1.48</v>
      </c>
    </row>
    <row r="880" spans="2:6">
      <c r="B880" s="3">
        <v>2</v>
      </c>
      <c r="C880" s="3">
        <v>3</v>
      </c>
      <c r="D880" s="3">
        <v>778</v>
      </c>
      <c r="E880" s="3">
        <v>5</v>
      </c>
      <c r="F880" s="3">
        <v>1.88</v>
      </c>
    </row>
    <row r="881" spans="2:6">
      <c r="B881" s="3">
        <v>2</v>
      </c>
      <c r="C881" s="3">
        <v>3</v>
      </c>
      <c r="D881" s="3">
        <v>917</v>
      </c>
      <c r="E881" s="3">
        <v>13</v>
      </c>
      <c r="F881" s="3">
        <v>0</v>
      </c>
    </row>
    <row r="882" spans="2:6">
      <c r="B882" s="3">
        <v>2</v>
      </c>
      <c r="C882" s="3">
        <v>3</v>
      </c>
      <c r="D882" s="3">
        <v>852</v>
      </c>
      <c r="E882" s="3">
        <v>14</v>
      </c>
      <c r="F882" s="3">
        <v>1.44</v>
      </c>
    </row>
    <row r="883" spans="2:6">
      <c r="B883" s="3">
        <v>2</v>
      </c>
      <c r="C883" s="3">
        <v>3</v>
      </c>
      <c r="D883" s="3">
        <v>1142</v>
      </c>
      <c r="E883" s="3">
        <v>13</v>
      </c>
      <c r="F883" s="3">
        <v>1.92</v>
      </c>
    </row>
    <row r="884" spans="2:6">
      <c r="B884" s="3">
        <v>2</v>
      </c>
      <c r="C884" s="3">
        <v>3</v>
      </c>
      <c r="D884" s="3">
        <v>930</v>
      </c>
      <c r="E884" s="3">
        <v>16</v>
      </c>
      <c r="F884" s="3">
        <v>1.59</v>
      </c>
    </row>
    <row r="885" spans="2:6">
      <c r="B885" s="3">
        <v>2</v>
      </c>
      <c r="C885" s="3">
        <v>3</v>
      </c>
      <c r="D885" s="3">
        <v>1213</v>
      </c>
      <c r="E885" s="3">
        <v>9</v>
      </c>
      <c r="F885" s="3">
        <v>2.0699999999999998</v>
      </c>
    </row>
    <row r="886" spans="2:6">
      <c r="B886" s="3">
        <v>2</v>
      </c>
      <c r="C886" s="3">
        <v>3</v>
      </c>
      <c r="D886" s="3">
        <v>1218</v>
      </c>
      <c r="E886" s="3">
        <v>11</v>
      </c>
      <c r="F886" s="3">
        <v>2.8</v>
      </c>
    </row>
    <row r="887" spans="2:6">
      <c r="B887" s="3">
        <v>2</v>
      </c>
      <c r="C887" s="3">
        <v>3</v>
      </c>
      <c r="D887" s="3">
        <v>1193</v>
      </c>
      <c r="E887" s="3">
        <v>7</v>
      </c>
      <c r="F887" s="3">
        <v>1.72</v>
      </c>
    </row>
    <row r="888" spans="2:6">
      <c r="B888" s="3">
        <v>2</v>
      </c>
      <c r="C888" s="3">
        <v>3</v>
      </c>
      <c r="D888" s="3">
        <v>1082</v>
      </c>
      <c r="E888" s="3">
        <v>16</v>
      </c>
      <c r="F888" s="3">
        <v>0.04</v>
      </c>
    </row>
    <row r="889" spans="2:6">
      <c r="B889" s="3">
        <v>2</v>
      </c>
      <c r="C889" s="3">
        <v>3</v>
      </c>
      <c r="D889" s="3">
        <v>1457</v>
      </c>
      <c r="E889" s="3">
        <v>13</v>
      </c>
      <c r="F889" s="3">
        <v>0.34</v>
      </c>
    </row>
    <row r="890" spans="2:6">
      <c r="B890" s="3">
        <v>2</v>
      </c>
      <c r="C890" s="3">
        <v>3</v>
      </c>
      <c r="D890" s="3">
        <v>1519</v>
      </c>
      <c r="E890" s="3">
        <v>12</v>
      </c>
      <c r="F890" s="3">
        <v>1.51</v>
      </c>
    </row>
    <row r="891" spans="2:6">
      <c r="B891" s="3">
        <v>2</v>
      </c>
      <c r="C891" s="3">
        <v>3</v>
      </c>
      <c r="D891" s="3">
        <v>344</v>
      </c>
      <c r="E891" s="3">
        <v>14</v>
      </c>
      <c r="F891" s="3">
        <v>1.69</v>
      </c>
    </row>
    <row r="892" spans="2:6">
      <c r="B892" s="3">
        <v>2</v>
      </c>
      <c r="C892" s="3">
        <v>3</v>
      </c>
      <c r="D892" s="3">
        <v>1292</v>
      </c>
      <c r="E892" s="3">
        <v>11</v>
      </c>
      <c r="F892" s="3">
        <v>0.47</v>
      </c>
    </row>
    <row r="893" spans="2:6">
      <c r="B893" s="3">
        <v>2</v>
      </c>
      <c r="C893" s="3">
        <v>3</v>
      </c>
      <c r="D893" s="3">
        <v>1589</v>
      </c>
      <c r="E893" s="3">
        <v>9</v>
      </c>
      <c r="F893" s="3">
        <v>0.98</v>
      </c>
    </row>
    <row r="894" spans="2:6">
      <c r="B894" s="3">
        <v>2</v>
      </c>
      <c r="C894" s="3">
        <v>3</v>
      </c>
      <c r="D894" s="3">
        <v>1510</v>
      </c>
      <c r="E894" s="3">
        <v>7</v>
      </c>
      <c r="F894" s="3">
        <v>1.1299999999999999</v>
      </c>
    </row>
    <row r="895" spans="2:6">
      <c r="B895" s="3">
        <v>2</v>
      </c>
      <c r="C895" s="3">
        <v>3</v>
      </c>
      <c r="D895" s="3">
        <v>872</v>
      </c>
      <c r="E895" s="3">
        <v>12</v>
      </c>
      <c r="F895" s="3">
        <v>1.58</v>
      </c>
    </row>
    <row r="896" spans="2:6">
      <c r="B896" s="3">
        <v>2</v>
      </c>
      <c r="C896" s="3">
        <v>3</v>
      </c>
      <c r="D896" s="3">
        <v>954</v>
      </c>
      <c r="E896" s="3">
        <v>17</v>
      </c>
      <c r="F896" s="3">
        <v>2.44</v>
      </c>
    </row>
    <row r="897" spans="2:6">
      <c r="B897" s="3">
        <v>2</v>
      </c>
      <c r="C897" s="3">
        <v>3</v>
      </c>
      <c r="D897" s="3">
        <v>1075</v>
      </c>
      <c r="E897" s="3">
        <v>12</v>
      </c>
      <c r="F897" s="3">
        <v>1.06</v>
      </c>
    </row>
    <row r="898" spans="2:6">
      <c r="B898" s="3">
        <v>2</v>
      </c>
      <c r="C898" s="3">
        <v>3</v>
      </c>
      <c r="D898" s="3">
        <v>800</v>
      </c>
      <c r="E898" s="3">
        <v>14</v>
      </c>
      <c r="F898" s="3">
        <v>0.13</v>
      </c>
    </row>
    <row r="899" spans="2:6">
      <c r="B899" s="3">
        <v>2</v>
      </c>
      <c r="C899" s="3">
        <v>3</v>
      </c>
      <c r="D899" s="3">
        <v>335</v>
      </c>
      <c r="E899" s="3">
        <v>18</v>
      </c>
      <c r="F899" s="3">
        <v>2.09</v>
      </c>
    </row>
    <row r="900" spans="2:6">
      <c r="B900" s="3">
        <v>2</v>
      </c>
      <c r="C900" s="3">
        <v>3</v>
      </c>
      <c r="D900" s="3">
        <v>1483</v>
      </c>
      <c r="E900" s="3">
        <v>16</v>
      </c>
      <c r="F900" s="3">
        <v>0.43</v>
      </c>
    </row>
    <row r="901" spans="2:6">
      <c r="B901" s="3">
        <v>2</v>
      </c>
      <c r="C901" s="3">
        <v>3</v>
      </c>
      <c r="D901" s="3">
        <v>773</v>
      </c>
      <c r="E901" s="3">
        <v>6</v>
      </c>
      <c r="F901" s="3">
        <v>1.42</v>
      </c>
    </row>
    <row r="902" spans="2:6">
      <c r="B902" s="3">
        <v>2</v>
      </c>
      <c r="C902" s="3">
        <v>3</v>
      </c>
      <c r="D902" s="3">
        <v>951</v>
      </c>
      <c r="E902" s="3">
        <v>15</v>
      </c>
      <c r="F902" s="3">
        <v>1.1499999999999999</v>
      </c>
    </row>
    <row r="903" spans="2:6">
      <c r="B903" s="3">
        <v>2</v>
      </c>
      <c r="C903" s="3">
        <v>3</v>
      </c>
      <c r="D903" s="3">
        <v>1165</v>
      </c>
      <c r="E903" s="3">
        <v>17</v>
      </c>
      <c r="F903" s="3">
        <v>2.17</v>
      </c>
    </row>
    <row r="904" spans="2:6">
      <c r="B904" s="3">
        <v>2</v>
      </c>
      <c r="C904" s="3">
        <v>3</v>
      </c>
      <c r="D904" s="3">
        <v>595</v>
      </c>
      <c r="E904" s="3">
        <v>15</v>
      </c>
      <c r="F904" s="3">
        <v>2.85</v>
      </c>
    </row>
    <row r="905" spans="2:6">
      <c r="B905" s="3">
        <v>2</v>
      </c>
      <c r="C905" s="3">
        <v>3</v>
      </c>
      <c r="D905" s="3">
        <v>978</v>
      </c>
      <c r="E905" s="3">
        <v>13</v>
      </c>
      <c r="F905" s="3">
        <v>1.1100000000000001</v>
      </c>
    </row>
    <row r="906" spans="2:6">
      <c r="B906" s="3">
        <v>2</v>
      </c>
      <c r="C906" s="3">
        <v>3</v>
      </c>
      <c r="D906" s="3">
        <v>1052</v>
      </c>
      <c r="E906" s="3">
        <v>12</v>
      </c>
      <c r="F906" s="3">
        <v>1.51</v>
      </c>
    </row>
    <row r="907" spans="2:6">
      <c r="B907" s="3">
        <v>2</v>
      </c>
      <c r="C907" s="3">
        <v>3</v>
      </c>
      <c r="D907" s="3">
        <v>1263</v>
      </c>
      <c r="E907" s="3">
        <v>8</v>
      </c>
      <c r="F907" s="3">
        <v>0.69</v>
      </c>
    </row>
    <row r="908" spans="2:6">
      <c r="B908" s="3">
        <v>2</v>
      </c>
      <c r="C908" s="3">
        <v>3</v>
      </c>
      <c r="D908" s="3">
        <v>1216</v>
      </c>
      <c r="E908" s="3">
        <v>6</v>
      </c>
      <c r="F908" s="3">
        <v>1.04</v>
      </c>
    </row>
    <row r="909" spans="2:6">
      <c r="B909" s="3">
        <v>2</v>
      </c>
      <c r="C909" s="3">
        <v>3</v>
      </c>
      <c r="D909" s="3">
        <v>1027</v>
      </c>
      <c r="E909" s="3">
        <v>14</v>
      </c>
      <c r="F909" s="3">
        <v>1.38</v>
      </c>
    </row>
    <row r="910" spans="2:6">
      <c r="B910" s="3">
        <v>2</v>
      </c>
      <c r="C910" s="3">
        <v>3</v>
      </c>
      <c r="D910" s="3">
        <v>1249</v>
      </c>
      <c r="E910" s="3">
        <v>15</v>
      </c>
      <c r="F910" s="3">
        <v>1.27</v>
      </c>
    </row>
    <row r="911" spans="2:6">
      <c r="B911" s="3">
        <v>2</v>
      </c>
      <c r="C911" s="3">
        <v>3</v>
      </c>
      <c r="D911" s="3">
        <v>689</v>
      </c>
      <c r="E911" s="3">
        <v>18</v>
      </c>
      <c r="F911" s="3">
        <v>1.48</v>
      </c>
    </row>
    <row r="912" spans="2:6">
      <c r="B912" s="3">
        <v>2</v>
      </c>
      <c r="C912" s="3">
        <v>3</v>
      </c>
      <c r="D912" s="3">
        <v>1579</v>
      </c>
      <c r="E912" s="3">
        <v>6</v>
      </c>
      <c r="F912" s="3">
        <v>1.64</v>
      </c>
    </row>
    <row r="913" spans="2:6">
      <c r="B913" s="3">
        <v>2</v>
      </c>
      <c r="C913" s="3">
        <v>3</v>
      </c>
      <c r="D913" s="3">
        <v>283</v>
      </c>
      <c r="E913" s="3">
        <v>4</v>
      </c>
      <c r="F913" s="3">
        <v>2.4300000000000002</v>
      </c>
    </row>
    <row r="914" spans="2:6">
      <c r="B914" s="3">
        <v>2</v>
      </c>
      <c r="C914" s="3">
        <v>3</v>
      </c>
      <c r="D914" s="3">
        <v>1001</v>
      </c>
      <c r="E914" s="3">
        <v>9</v>
      </c>
      <c r="F914" s="3">
        <v>1.8</v>
      </c>
    </row>
    <row r="915" spans="2:6">
      <c r="B915" s="3">
        <v>2</v>
      </c>
      <c r="C915" s="3">
        <v>3</v>
      </c>
      <c r="D915" s="3">
        <v>774</v>
      </c>
      <c r="E915" s="3">
        <v>10</v>
      </c>
      <c r="F915" s="3">
        <v>0.7</v>
      </c>
    </row>
    <row r="916" spans="2:6">
      <c r="B916" s="3">
        <v>2</v>
      </c>
      <c r="C916" s="3">
        <v>3</v>
      </c>
      <c r="D916" s="3">
        <v>785</v>
      </c>
      <c r="E916" s="3">
        <v>11</v>
      </c>
      <c r="F916" s="3">
        <v>0.42</v>
      </c>
    </row>
    <row r="917" spans="2:6">
      <c r="B917" s="3">
        <v>2</v>
      </c>
      <c r="C917" s="3">
        <v>3</v>
      </c>
      <c r="D917" s="3">
        <v>1220</v>
      </c>
      <c r="E917" s="3">
        <v>6</v>
      </c>
      <c r="F917" s="3">
        <v>1.51</v>
      </c>
    </row>
    <row r="918" spans="2:6">
      <c r="B918" s="3">
        <v>2</v>
      </c>
      <c r="C918" s="3">
        <v>3</v>
      </c>
      <c r="D918" s="3">
        <v>864</v>
      </c>
      <c r="E918" s="3">
        <v>12</v>
      </c>
      <c r="F918" s="3">
        <v>2.4500000000000002</v>
      </c>
    </row>
    <row r="919" spans="2:6">
      <c r="B919" s="3">
        <v>2</v>
      </c>
      <c r="C919" s="3">
        <v>3</v>
      </c>
      <c r="D919" s="3">
        <v>1304</v>
      </c>
      <c r="E919" s="3">
        <v>8</v>
      </c>
      <c r="F919" s="3">
        <v>1</v>
      </c>
    </row>
    <row r="920" spans="2:6">
      <c r="B920" s="3">
        <v>2</v>
      </c>
      <c r="C920" s="3">
        <v>3</v>
      </c>
      <c r="D920" s="3">
        <v>1475</v>
      </c>
      <c r="E920" s="3">
        <v>12</v>
      </c>
      <c r="F920" s="3">
        <v>1.61</v>
      </c>
    </row>
    <row r="921" spans="2:6">
      <c r="B921" s="3">
        <v>2</v>
      </c>
      <c r="C921" s="3">
        <v>3</v>
      </c>
      <c r="D921" s="3">
        <v>771</v>
      </c>
      <c r="E921" s="3">
        <v>1</v>
      </c>
      <c r="F921" s="3">
        <v>1.9</v>
      </c>
    </row>
    <row r="922" spans="2:6">
      <c r="B922" s="3">
        <v>2</v>
      </c>
      <c r="C922" s="3">
        <v>3</v>
      </c>
      <c r="D922" s="3">
        <v>1149</v>
      </c>
      <c r="E922" s="3">
        <v>18</v>
      </c>
      <c r="F922" s="3">
        <v>1.1399999999999999</v>
      </c>
    </row>
    <row r="923" spans="2:6">
      <c r="B923" s="3">
        <v>2</v>
      </c>
      <c r="C923" s="3">
        <v>3</v>
      </c>
      <c r="D923" s="3">
        <v>698</v>
      </c>
      <c r="E923" s="3">
        <v>19</v>
      </c>
      <c r="F923" s="3">
        <v>1.66</v>
      </c>
    </row>
    <row r="924" spans="2:6">
      <c r="B924" s="3">
        <v>2</v>
      </c>
      <c r="C924" s="3">
        <v>3</v>
      </c>
      <c r="D924" s="3">
        <v>1482</v>
      </c>
      <c r="E924" s="3">
        <v>20</v>
      </c>
      <c r="F924" s="3">
        <v>1.62</v>
      </c>
    </row>
    <row r="925" spans="2:6">
      <c r="B925" s="3">
        <v>2</v>
      </c>
      <c r="C925" s="3">
        <v>3</v>
      </c>
      <c r="D925" s="3">
        <v>1608</v>
      </c>
      <c r="E925" s="3">
        <v>11</v>
      </c>
      <c r="F925" s="3">
        <v>2.64</v>
      </c>
    </row>
    <row r="926" spans="2:6">
      <c r="B926" s="3">
        <v>2</v>
      </c>
      <c r="C926" s="3">
        <v>3</v>
      </c>
      <c r="D926" s="3">
        <v>1336</v>
      </c>
      <c r="E926" s="3">
        <v>11</v>
      </c>
      <c r="F926" s="3">
        <v>0.92</v>
      </c>
    </row>
    <row r="927" spans="2:6">
      <c r="B927" s="3">
        <v>2</v>
      </c>
      <c r="C927" s="3">
        <v>3</v>
      </c>
      <c r="D927" s="3">
        <v>1831</v>
      </c>
      <c r="E927" s="3">
        <v>22</v>
      </c>
      <c r="F927" s="3">
        <v>0.18</v>
      </c>
    </row>
    <row r="928" spans="2:6">
      <c r="B928" s="3">
        <v>2</v>
      </c>
      <c r="C928" s="3">
        <v>3</v>
      </c>
      <c r="D928" s="3">
        <v>1737</v>
      </c>
      <c r="E928" s="3">
        <v>21</v>
      </c>
      <c r="F928" s="3">
        <v>0.1</v>
      </c>
    </row>
    <row r="929" spans="2:6">
      <c r="B929" s="3">
        <v>2</v>
      </c>
      <c r="C929" s="3">
        <v>3</v>
      </c>
      <c r="D929" s="3">
        <v>1357</v>
      </c>
      <c r="E929" s="3">
        <v>15</v>
      </c>
      <c r="F929" s="3">
        <v>1.73</v>
      </c>
    </row>
    <row r="930" spans="2:6">
      <c r="B930" s="3">
        <v>2</v>
      </c>
      <c r="C930" s="3">
        <v>3</v>
      </c>
      <c r="D930" s="3">
        <v>1570</v>
      </c>
      <c r="E930" s="3">
        <v>6</v>
      </c>
      <c r="F930" s="3">
        <v>1.98</v>
      </c>
    </row>
    <row r="931" spans="2:6">
      <c r="B931" s="3">
        <v>2</v>
      </c>
      <c r="C931" s="3">
        <v>3</v>
      </c>
      <c r="D931" s="3">
        <v>1275</v>
      </c>
      <c r="E931" s="3">
        <v>11</v>
      </c>
      <c r="F931" s="3">
        <v>1.17</v>
      </c>
    </row>
    <row r="932" spans="2:6">
      <c r="B932" s="3">
        <v>2</v>
      </c>
      <c r="C932" s="3">
        <v>3</v>
      </c>
      <c r="D932" s="3">
        <v>1348</v>
      </c>
      <c r="E932" s="3">
        <v>14</v>
      </c>
      <c r="F932" s="3">
        <v>0.79</v>
      </c>
    </row>
    <row r="933" spans="2:6">
      <c r="B933" s="3">
        <v>2</v>
      </c>
      <c r="C933" s="3">
        <v>3</v>
      </c>
      <c r="D933" s="3">
        <v>1246</v>
      </c>
      <c r="E933" s="3">
        <v>8</v>
      </c>
      <c r="F933" s="3">
        <v>0.89</v>
      </c>
    </row>
    <row r="934" spans="2:6">
      <c r="B934" s="3">
        <v>2</v>
      </c>
      <c r="C934" s="3">
        <v>3</v>
      </c>
      <c r="D934" s="3">
        <v>786</v>
      </c>
      <c r="E934" s="3">
        <v>6</v>
      </c>
      <c r="F934" s="3">
        <v>1.98</v>
      </c>
    </row>
    <row r="935" spans="2:6">
      <c r="B935" s="3">
        <v>2</v>
      </c>
      <c r="C935" s="3">
        <v>3</v>
      </c>
      <c r="D935" s="3">
        <v>1174</v>
      </c>
      <c r="E935" s="3">
        <v>17</v>
      </c>
      <c r="F935" s="3">
        <v>1.49</v>
      </c>
    </row>
    <row r="936" spans="2:6">
      <c r="B936" s="3">
        <v>2</v>
      </c>
      <c r="C936" s="3">
        <v>3</v>
      </c>
      <c r="D936" s="3">
        <v>1793</v>
      </c>
      <c r="E936" s="3">
        <v>1</v>
      </c>
      <c r="F936" s="3">
        <v>0</v>
      </c>
    </row>
    <row r="937" spans="2:6">
      <c r="B937" s="3">
        <v>2</v>
      </c>
      <c r="C937" s="3">
        <v>3</v>
      </c>
      <c r="D937" s="3">
        <v>1169</v>
      </c>
      <c r="E937" s="3">
        <v>4</v>
      </c>
      <c r="F937" s="3">
        <v>1.84</v>
      </c>
    </row>
    <row r="938" spans="2:6">
      <c r="B938" s="3">
        <v>2</v>
      </c>
      <c r="C938" s="3">
        <v>3</v>
      </c>
      <c r="D938" s="3">
        <v>834</v>
      </c>
      <c r="E938" s="3">
        <v>23</v>
      </c>
      <c r="F938" s="3">
        <v>0.49</v>
      </c>
    </row>
    <row r="939" spans="2:6">
      <c r="B939" s="3">
        <v>2</v>
      </c>
      <c r="C939" s="3">
        <v>3</v>
      </c>
      <c r="D939" s="3">
        <v>1720</v>
      </c>
      <c r="E939" s="3">
        <v>13</v>
      </c>
      <c r="F939" s="3">
        <v>0.35</v>
      </c>
    </row>
    <row r="940" spans="2:6">
      <c r="B940" s="3">
        <v>2</v>
      </c>
      <c r="C940" s="3">
        <v>3</v>
      </c>
      <c r="D940" s="3">
        <v>581</v>
      </c>
      <c r="E940" s="3">
        <v>10</v>
      </c>
      <c r="F940" s="3">
        <v>2.27</v>
      </c>
    </row>
    <row r="941" spans="2:6">
      <c r="B941" s="3">
        <v>2</v>
      </c>
      <c r="C941" s="3">
        <v>3</v>
      </c>
      <c r="D941" s="3">
        <v>888</v>
      </c>
      <c r="E941" s="3">
        <v>9</v>
      </c>
      <c r="F941" s="3">
        <v>0.15</v>
      </c>
    </row>
    <row r="942" spans="2:6">
      <c r="B942" s="3">
        <v>2</v>
      </c>
      <c r="C942" s="3">
        <v>3</v>
      </c>
      <c r="D942" s="3">
        <v>1303</v>
      </c>
      <c r="E942" s="3">
        <v>17</v>
      </c>
      <c r="F942" s="3">
        <v>1.31</v>
      </c>
    </row>
    <row r="943" spans="2:6">
      <c r="B943" s="3">
        <v>2</v>
      </c>
      <c r="C943" s="3">
        <v>3</v>
      </c>
      <c r="D943" s="3">
        <v>835</v>
      </c>
      <c r="E943" s="3">
        <v>11</v>
      </c>
      <c r="F943" s="3">
        <v>1.2</v>
      </c>
    </row>
    <row r="944" spans="2:6">
      <c r="B944" s="3">
        <v>2</v>
      </c>
      <c r="C944" s="3">
        <v>3</v>
      </c>
      <c r="D944" s="3">
        <v>1597</v>
      </c>
      <c r="E944" s="3">
        <v>14</v>
      </c>
      <c r="F944" s="3">
        <v>1.2</v>
      </c>
    </row>
    <row r="945" spans="2:6">
      <c r="B945" s="3">
        <v>2</v>
      </c>
      <c r="C945" s="3">
        <v>3</v>
      </c>
      <c r="D945" s="3">
        <v>789</v>
      </c>
      <c r="E945" s="3">
        <v>13</v>
      </c>
      <c r="F945" s="3">
        <v>0.79</v>
      </c>
    </row>
    <row r="946" spans="2:6">
      <c r="B946" s="3">
        <v>2</v>
      </c>
      <c r="C946" s="3">
        <v>3</v>
      </c>
      <c r="D946" s="3">
        <v>1917</v>
      </c>
      <c r="E946" s="3">
        <v>12</v>
      </c>
      <c r="F946" s="3">
        <v>1.54</v>
      </c>
    </row>
    <row r="947" spans="2:6">
      <c r="B947" s="3">
        <v>2</v>
      </c>
      <c r="C947" s="3">
        <v>3</v>
      </c>
      <c r="D947" s="3">
        <v>1662</v>
      </c>
      <c r="E947" s="3">
        <v>14</v>
      </c>
      <c r="F947" s="3">
        <v>1.65</v>
      </c>
    </row>
    <row r="948" spans="2:6">
      <c r="B948" s="3">
        <v>2</v>
      </c>
      <c r="C948" s="3">
        <v>3</v>
      </c>
      <c r="D948" s="3">
        <v>2188</v>
      </c>
      <c r="E948" s="3">
        <v>24</v>
      </c>
      <c r="F948" s="3">
        <v>0.24</v>
      </c>
    </row>
    <row r="949" spans="2:6">
      <c r="B949" s="3">
        <v>2</v>
      </c>
      <c r="C949" s="3">
        <v>3</v>
      </c>
      <c r="D949" s="3">
        <v>1348</v>
      </c>
      <c r="E949" s="3">
        <v>26</v>
      </c>
      <c r="F949" s="3">
        <v>0.46</v>
      </c>
    </row>
    <row r="950" spans="2:6">
      <c r="B950" s="3">
        <v>2</v>
      </c>
      <c r="C950" s="3">
        <v>3</v>
      </c>
      <c r="D950" s="3">
        <v>1735</v>
      </c>
      <c r="E950" s="3">
        <v>15</v>
      </c>
      <c r="F950" s="3">
        <v>1.42</v>
      </c>
    </row>
    <row r="951" spans="2:6">
      <c r="B951" s="3">
        <v>2</v>
      </c>
      <c r="C951" s="3">
        <v>3</v>
      </c>
      <c r="D951" s="3">
        <v>700</v>
      </c>
      <c r="E951" s="3">
        <v>17</v>
      </c>
      <c r="F951" s="3">
        <v>0.95</v>
      </c>
    </row>
    <row r="952" spans="2:6">
      <c r="B952" s="3">
        <v>2</v>
      </c>
      <c r="C952" s="3">
        <v>3</v>
      </c>
      <c r="D952" s="3">
        <v>1195</v>
      </c>
      <c r="E952" s="3">
        <v>22</v>
      </c>
      <c r="F952" s="3">
        <v>2.2200000000000002</v>
      </c>
    </row>
    <row r="953" spans="2:6">
      <c r="B953" s="3">
        <v>2</v>
      </c>
      <c r="C953" s="3">
        <v>3</v>
      </c>
      <c r="D953" s="3">
        <v>1681</v>
      </c>
      <c r="E953" s="3">
        <v>8</v>
      </c>
      <c r="F953" s="3">
        <v>1.68</v>
      </c>
    </row>
    <row r="954" spans="2:6">
      <c r="B954" s="3">
        <v>2</v>
      </c>
      <c r="C954" s="3">
        <v>3</v>
      </c>
      <c r="D954" s="3">
        <v>1475</v>
      </c>
      <c r="E954" s="3">
        <v>21</v>
      </c>
      <c r="F954" s="3">
        <v>1.1599999999999999</v>
      </c>
    </row>
    <row r="955" spans="2:6">
      <c r="B955" s="3">
        <v>2</v>
      </c>
      <c r="C955" s="3">
        <v>3</v>
      </c>
      <c r="D955" s="3">
        <v>1474</v>
      </c>
      <c r="E955" s="3">
        <v>9</v>
      </c>
      <c r="F955" s="3">
        <v>0</v>
      </c>
    </row>
    <row r="956" spans="2:6">
      <c r="B956" s="3">
        <v>2</v>
      </c>
      <c r="C956" s="3">
        <v>3</v>
      </c>
      <c r="D956" s="3">
        <v>1385</v>
      </c>
      <c r="E956" s="3">
        <v>11</v>
      </c>
      <c r="F956" s="3">
        <v>2.14</v>
      </c>
    </row>
    <row r="957" spans="2:6">
      <c r="B957" s="3">
        <v>2</v>
      </c>
      <c r="C957" s="3">
        <v>3</v>
      </c>
      <c r="D957" s="3">
        <v>1876</v>
      </c>
      <c r="E957" s="3">
        <v>4</v>
      </c>
      <c r="F957" s="3">
        <v>1.24</v>
      </c>
    </row>
    <row r="958" spans="2:6">
      <c r="B958" s="3">
        <v>2</v>
      </c>
      <c r="C958" s="3">
        <v>3</v>
      </c>
      <c r="D958" s="3">
        <v>1212</v>
      </c>
      <c r="E958" s="3">
        <v>4</v>
      </c>
      <c r="F958" s="3">
        <v>1.28</v>
      </c>
    </row>
    <row r="959" spans="2:6">
      <c r="B959" s="3">
        <v>2</v>
      </c>
      <c r="C959" s="3">
        <v>3</v>
      </c>
      <c r="D959" s="3">
        <v>1028</v>
      </c>
      <c r="E959" s="3">
        <v>15</v>
      </c>
      <c r="F959" s="3">
        <v>1.82</v>
      </c>
    </row>
    <row r="960" spans="2:6">
      <c r="B960" s="3">
        <v>2</v>
      </c>
      <c r="C960" s="3">
        <v>3</v>
      </c>
      <c r="D960" s="3">
        <v>1163</v>
      </c>
      <c r="E960" s="3">
        <v>15</v>
      </c>
      <c r="F960" s="3">
        <v>0.24</v>
      </c>
    </row>
    <row r="961" spans="2:6">
      <c r="B961" s="3">
        <v>2</v>
      </c>
      <c r="C961" s="3">
        <v>3</v>
      </c>
      <c r="D961" s="3">
        <v>649</v>
      </c>
      <c r="E961" s="3">
        <v>14</v>
      </c>
      <c r="F961" s="3">
        <v>2.27</v>
      </c>
    </row>
    <row r="962" spans="2:6">
      <c r="B962" s="3">
        <v>2</v>
      </c>
      <c r="C962" s="3">
        <v>3</v>
      </c>
      <c r="D962" s="3">
        <v>1558</v>
      </c>
      <c r="E962" s="3">
        <v>16</v>
      </c>
      <c r="F962" s="3">
        <v>1.78</v>
      </c>
    </row>
    <row r="963" spans="2:6">
      <c r="B963" s="3">
        <v>2</v>
      </c>
      <c r="C963" s="3">
        <v>3</v>
      </c>
      <c r="D963" s="3">
        <v>1219</v>
      </c>
      <c r="E963" s="3">
        <v>4</v>
      </c>
      <c r="F963" s="3">
        <v>0.92</v>
      </c>
    </row>
    <row r="964" spans="2:6">
      <c r="B964" s="3">
        <v>2</v>
      </c>
      <c r="C964" s="3">
        <v>3</v>
      </c>
      <c r="D964" s="3">
        <v>1277</v>
      </c>
      <c r="E964" s="3">
        <v>15</v>
      </c>
      <c r="F964" s="3">
        <v>0.85</v>
      </c>
    </row>
    <row r="965" spans="2:6">
      <c r="B965" s="3">
        <v>2</v>
      </c>
      <c r="C965" s="3">
        <v>3</v>
      </c>
      <c r="D965" s="3">
        <v>1398</v>
      </c>
      <c r="E965" s="3">
        <v>13</v>
      </c>
      <c r="F965" s="3">
        <v>1.48</v>
      </c>
    </row>
    <row r="966" spans="2:6">
      <c r="B966" s="3">
        <v>2</v>
      </c>
      <c r="C966" s="3">
        <v>3</v>
      </c>
      <c r="D966" s="3">
        <v>1029</v>
      </c>
      <c r="E966" s="3">
        <v>9</v>
      </c>
      <c r="F966" s="3">
        <v>1.21</v>
      </c>
    </row>
    <row r="967" spans="2:6">
      <c r="B967" s="3">
        <v>2</v>
      </c>
      <c r="C967" s="3">
        <v>3</v>
      </c>
      <c r="D967" s="3">
        <v>919</v>
      </c>
      <c r="E967" s="3">
        <v>15</v>
      </c>
      <c r="F967" s="3">
        <v>1.31</v>
      </c>
    </row>
    <row r="968" spans="2:6">
      <c r="B968" s="3">
        <v>2</v>
      </c>
      <c r="C968" s="3">
        <v>3</v>
      </c>
      <c r="D968" s="3">
        <v>1844</v>
      </c>
      <c r="E968" s="3">
        <v>11</v>
      </c>
      <c r="F968" s="3">
        <v>0.62</v>
      </c>
    </row>
    <row r="969" spans="2:6">
      <c r="B969" s="3">
        <v>2</v>
      </c>
      <c r="C969" s="3">
        <v>3</v>
      </c>
      <c r="D969" s="3">
        <v>1220</v>
      </c>
      <c r="E969" s="3">
        <v>19</v>
      </c>
      <c r="F969" s="3">
        <v>1.89</v>
      </c>
    </row>
    <row r="970" spans="2:6">
      <c r="B970" s="3">
        <v>2</v>
      </c>
      <c r="C970" s="3">
        <v>3</v>
      </c>
      <c r="D970" s="3">
        <v>1538</v>
      </c>
      <c r="E970" s="3">
        <v>13</v>
      </c>
      <c r="F970" s="3">
        <v>2.44</v>
      </c>
    </row>
    <row r="971" spans="2:6">
      <c r="B971" s="3">
        <v>2</v>
      </c>
      <c r="C971" s="3">
        <v>3</v>
      </c>
      <c r="D971" s="3">
        <v>1181</v>
      </c>
      <c r="E971" s="3">
        <v>14</v>
      </c>
      <c r="F971" s="3">
        <v>1.1599999999999999</v>
      </c>
    </row>
    <row r="972" spans="2:6">
      <c r="B972" s="3">
        <v>2</v>
      </c>
      <c r="C972" s="3">
        <v>3</v>
      </c>
      <c r="D972" s="3">
        <v>1098</v>
      </c>
      <c r="E972" s="3">
        <v>8</v>
      </c>
      <c r="F972" s="3">
        <v>1.29</v>
      </c>
    </row>
    <row r="973" spans="2:6">
      <c r="B973" s="3">
        <v>2</v>
      </c>
      <c r="C973" s="3">
        <v>3</v>
      </c>
      <c r="D973" s="3">
        <v>1169</v>
      </c>
      <c r="E973" s="3">
        <v>13</v>
      </c>
      <c r="F973" s="3">
        <v>0.75</v>
      </c>
    </row>
    <row r="974" spans="2:6">
      <c r="B974" s="3">
        <v>2</v>
      </c>
      <c r="C974" s="3">
        <v>3</v>
      </c>
      <c r="D974" s="3">
        <v>486</v>
      </c>
      <c r="E974" s="3">
        <v>17</v>
      </c>
      <c r="F974" s="3">
        <v>1.56</v>
      </c>
    </row>
    <row r="975" spans="2:6">
      <c r="B975" s="3">
        <v>2</v>
      </c>
      <c r="C975" s="3">
        <v>3</v>
      </c>
      <c r="D975" s="3">
        <v>1189</v>
      </c>
      <c r="E975" s="3">
        <v>14</v>
      </c>
      <c r="F975" s="3">
        <v>0.86</v>
      </c>
    </row>
    <row r="976" spans="2:6">
      <c r="B976" s="3">
        <v>2</v>
      </c>
      <c r="C976" s="3">
        <v>3</v>
      </c>
      <c r="D976" s="3">
        <v>1433</v>
      </c>
      <c r="E976" s="3">
        <v>11</v>
      </c>
      <c r="F976" s="3">
        <v>0.77</v>
      </c>
    </row>
    <row r="977" spans="2:6">
      <c r="B977" s="3">
        <v>2</v>
      </c>
      <c r="C977" s="3">
        <v>3</v>
      </c>
      <c r="D977" s="3">
        <v>1507</v>
      </c>
      <c r="E977" s="3">
        <v>16</v>
      </c>
      <c r="F977" s="3">
        <v>1.23</v>
      </c>
    </row>
    <row r="978" spans="2:6">
      <c r="B978" s="3">
        <v>2</v>
      </c>
      <c r="C978" s="3">
        <v>3</v>
      </c>
      <c r="D978" s="3">
        <v>1110</v>
      </c>
      <c r="E978" s="3">
        <v>19</v>
      </c>
      <c r="F978" s="3">
        <v>1.95</v>
      </c>
    </row>
    <row r="979" spans="2:6">
      <c r="B979" s="3">
        <v>2</v>
      </c>
      <c r="C979" s="3">
        <v>3</v>
      </c>
      <c r="D979" s="3">
        <v>1237</v>
      </c>
      <c r="E979" s="3">
        <v>8</v>
      </c>
      <c r="F979" s="3">
        <v>0.28999999999999998</v>
      </c>
    </row>
    <row r="980" spans="2:6">
      <c r="B980" s="3">
        <v>2</v>
      </c>
      <c r="C980" s="3">
        <v>3</v>
      </c>
      <c r="D980" s="3">
        <v>1182</v>
      </c>
      <c r="E980" s="3">
        <v>21</v>
      </c>
      <c r="F980" s="3">
        <v>0.71</v>
      </c>
    </row>
    <row r="981" spans="2:6">
      <c r="B981" s="3">
        <v>2</v>
      </c>
      <c r="C981" s="3">
        <v>3</v>
      </c>
      <c r="D981" s="3">
        <v>1383</v>
      </c>
      <c r="E981" s="3">
        <v>9</v>
      </c>
      <c r="F981" s="3">
        <v>0.87</v>
      </c>
    </row>
    <row r="982" spans="2:6">
      <c r="B982" s="3">
        <v>2</v>
      </c>
      <c r="C982" s="3">
        <v>3</v>
      </c>
      <c r="D982" s="3">
        <v>1318</v>
      </c>
      <c r="E982" s="3">
        <v>5</v>
      </c>
      <c r="F982" s="3">
        <v>0.76</v>
      </c>
    </row>
    <row r="983" spans="2:6">
      <c r="B983" s="3">
        <v>2</v>
      </c>
      <c r="C983" s="3">
        <v>3</v>
      </c>
      <c r="D983" s="3">
        <v>1018</v>
      </c>
      <c r="E983" s="3">
        <v>15</v>
      </c>
      <c r="F983" s="3">
        <v>1</v>
      </c>
    </row>
    <row r="984" spans="2:6">
      <c r="B984" s="3">
        <v>2</v>
      </c>
      <c r="C984" s="3">
        <v>3</v>
      </c>
      <c r="D984" s="3">
        <v>814</v>
      </c>
      <c r="E984" s="3">
        <v>18</v>
      </c>
      <c r="F984" s="3">
        <v>0.91</v>
      </c>
    </row>
    <row r="985" spans="2:6">
      <c r="B985" s="3">
        <v>2</v>
      </c>
      <c r="C985" s="3">
        <v>3</v>
      </c>
      <c r="D985" s="3">
        <v>938</v>
      </c>
      <c r="E985" s="3">
        <v>9</v>
      </c>
      <c r="F985" s="3">
        <v>0.8</v>
      </c>
    </row>
    <row r="986" spans="2:6">
      <c r="B986" s="3">
        <v>2</v>
      </c>
      <c r="C986" s="3">
        <v>3</v>
      </c>
      <c r="D986" s="3">
        <v>1433</v>
      </c>
      <c r="E986" s="3">
        <v>13</v>
      </c>
      <c r="F986" s="3">
        <v>0.41</v>
      </c>
    </row>
    <row r="987" spans="2:6">
      <c r="B987" s="3">
        <v>2</v>
      </c>
      <c r="C987" s="3">
        <v>3</v>
      </c>
      <c r="D987" s="3">
        <v>1076</v>
      </c>
      <c r="E987" s="3">
        <v>13</v>
      </c>
      <c r="F987" s="3">
        <v>0.61</v>
      </c>
    </row>
    <row r="988" spans="2:6">
      <c r="B988" s="3">
        <v>2</v>
      </c>
      <c r="C988" s="3">
        <v>3</v>
      </c>
      <c r="D988" s="3">
        <v>1309</v>
      </c>
      <c r="E988" s="3">
        <v>20</v>
      </c>
      <c r="F988" s="3">
        <v>1.51</v>
      </c>
    </row>
    <row r="989" spans="2:6">
      <c r="B989" s="3">
        <v>2</v>
      </c>
      <c r="C989" s="3">
        <v>3</v>
      </c>
      <c r="D989" s="3">
        <v>1463</v>
      </c>
      <c r="E989" s="3">
        <v>20</v>
      </c>
      <c r="F989" s="3">
        <v>0.14000000000000001</v>
      </c>
    </row>
    <row r="990" spans="2:6">
      <c r="B990" s="3">
        <v>2</v>
      </c>
      <c r="C990" s="3">
        <v>3</v>
      </c>
      <c r="D990" s="3">
        <v>1097</v>
      </c>
      <c r="E990" s="3">
        <v>15</v>
      </c>
      <c r="F990" s="3">
        <v>0.22</v>
      </c>
    </row>
    <row r="991" spans="2:6">
      <c r="B991" s="3">
        <v>2</v>
      </c>
      <c r="C991" s="3">
        <v>3</v>
      </c>
      <c r="D991" s="3">
        <v>1298</v>
      </c>
      <c r="E991" s="3">
        <v>16</v>
      </c>
      <c r="F991" s="3">
        <v>0.56999999999999995</v>
      </c>
    </row>
    <row r="992" spans="2:6">
      <c r="B992" s="3">
        <v>2</v>
      </c>
      <c r="C992" s="3">
        <v>3</v>
      </c>
      <c r="D992" s="3">
        <v>1651</v>
      </c>
      <c r="E992" s="3">
        <v>9</v>
      </c>
      <c r="F992" s="3">
        <v>0.9</v>
      </c>
    </row>
    <row r="993" spans="2:6">
      <c r="B993" s="3">
        <v>2</v>
      </c>
      <c r="C993" s="3">
        <v>3</v>
      </c>
      <c r="D993" s="3">
        <v>1335</v>
      </c>
      <c r="E993" s="3">
        <v>6</v>
      </c>
      <c r="F993" s="3">
        <v>1.86</v>
      </c>
    </row>
    <row r="994" spans="2:6">
      <c r="B994" s="3">
        <v>2</v>
      </c>
      <c r="C994" s="3">
        <v>3</v>
      </c>
      <c r="D994" s="3">
        <v>2021</v>
      </c>
      <c r="E994" s="3">
        <v>9</v>
      </c>
      <c r="F994" s="3">
        <v>1.44</v>
      </c>
    </row>
    <row r="995" spans="2:6">
      <c r="B995" s="3">
        <v>2</v>
      </c>
      <c r="C995" s="3">
        <v>3</v>
      </c>
      <c r="D995" s="3">
        <v>1145</v>
      </c>
      <c r="E995" s="3">
        <v>12</v>
      </c>
      <c r="F995" s="3">
        <v>0.64</v>
      </c>
    </row>
    <row r="996" spans="2:6">
      <c r="B996" s="3">
        <v>2</v>
      </c>
      <c r="C996" s="3">
        <v>3</v>
      </c>
      <c r="D996" s="3">
        <v>1644</v>
      </c>
      <c r="E996" s="3">
        <v>15</v>
      </c>
      <c r="F996" s="3">
        <v>1.92</v>
      </c>
    </row>
    <row r="997" spans="2:6">
      <c r="B997" s="3">
        <v>2</v>
      </c>
      <c r="C997" s="3">
        <v>3</v>
      </c>
      <c r="D997" s="3">
        <v>1567</v>
      </c>
      <c r="E997" s="3">
        <v>14</v>
      </c>
      <c r="F997" s="3">
        <v>1.73</v>
      </c>
    </row>
    <row r="998" spans="2:6">
      <c r="B998" s="3">
        <v>2</v>
      </c>
      <c r="C998" s="3">
        <v>3</v>
      </c>
      <c r="D998" s="3">
        <v>1005</v>
      </c>
      <c r="E998" s="3">
        <v>8</v>
      </c>
      <c r="F998" s="3">
        <v>1.23</v>
      </c>
    </row>
    <row r="999" spans="2:6">
      <c r="B999" s="3">
        <v>2</v>
      </c>
      <c r="C999" s="3">
        <v>3</v>
      </c>
      <c r="D999" s="3">
        <v>1596</v>
      </c>
      <c r="E999" s="3">
        <v>14</v>
      </c>
      <c r="F999" s="3">
        <v>0.96</v>
      </c>
    </row>
    <row r="1000" spans="2:6">
      <c r="B1000" s="3">
        <v>2</v>
      </c>
      <c r="C1000" s="3">
        <v>3</v>
      </c>
      <c r="D1000" s="3">
        <v>1573</v>
      </c>
      <c r="E1000" s="3">
        <v>17</v>
      </c>
      <c r="F1000" s="3">
        <v>1.47</v>
      </c>
    </row>
    <row r="1001" spans="2:6">
      <c r="B1001" s="3">
        <v>2</v>
      </c>
      <c r="C1001" s="3">
        <v>3</v>
      </c>
      <c r="D1001" s="3">
        <v>1717</v>
      </c>
      <c r="E1001" s="3">
        <v>12</v>
      </c>
      <c r="F1001" s="3">
        <v>0.85</v>
      </c>
    </row>
    <row r="1002" spans="2:6">
      <c r="B1002" s="3">
        <v>2</v>
      </c>
      <c r="C1002" s="3">
        <v>3</v>
      </c>
      <c r="D1002" s="3">
        <v>1237</v>
      </c>
      <c r="E1002" s="3">
        <v>19</v>
      </c>
      <c r="F1002" s="3">
        <v>0.9</v>
      </c>
    </row>
    <row r="1003" spans="2:6">
      <c r="B1003" s="3">
        <v>2</v>
      </c>
      <c r="C1003" s="3">
        <v>3</v>
      </c>
      <c r="D1003" s="3">
        <v>1062</v>
      </c>
      <c r="E1003" s="3">
        <v>3</v>
      </c>
      <c r="F1003" s="3">
        <v>2.27</v>
      </c>
    </row>
    <row r="1004" spans="2:6">
      <c r="B1004" s="3">
        <v>2</v>
      </c>
      <c r="C1004" s="3">
        <v>3</v>
      </c>
      <c r="D1004" s="3">
        <v>671</v>
      </c>
      <c r="E1004" s="3">
        <v>19</v>
      </c>
      <c r="F1004" s="3">
        <v>1.29</v>
      </c>
    </row>
    <row r="1005" spans="2:6">
      <c r="B1005" s="3">
        <v>2</v>
      </c>
      <c r="C1005" s="3">
        <v>3</v>
      </c>
      <c r="D1005" s="3">
        <v>1286</v>
      </c>
      <c r="E1005" s="3">
        <v>11</v>
      </c>
      <c r="F1005" s="3">
        <v>0.27</v>
      </c>
    </row>
    <row r="1006" spans="2:6">
      <c r="B1006" s="3">
        <v>2</v>
      </c>
      <c r="C1006" s="3">
        <v>3</v>
      </c>
      <c r="D1006" s="3">
        <v>1023</v>
      </c>
      <c r="E1006" s="3">
        <v>22</v>
      </c>
      <c r="F1006" s="3">
        <v>0.9</v>
      </c>
    </row>
    <row r="1007" spans="2:6">
      <c r="B1007" s="3">
        <v>2</v>
      </c>
      <c r="C1007" s="3">
        <v>3</v>
      </c>
      <c r="D1007" s="3">
        <v>1161</v>
      </c>
      <c r="E1007" s="3">
        <v>12</v>
      </c>
      <c r="F1007" s="3">
        <v>0</v>
      </c>
    </row>
    <row r="1008" spans="2:6">
      <c r="B1008" s="3">
        <v>2</v>
      </c>
      <c r="C1008" s="3">
        <v>3</v>
      </c>
      <c r="D1008" s="3">
        <v>1600</v>
      </c>
      <c r="E1008" s="3">
        <v>4</v>
      </c>
      <c r="F1008" s="3">
        <v>1.02</v>
      </c>
    </row>
    <row r="1009" spans="2:6">
      <c r="B1009" s="3">
        <v>2</v>
      </c>
      <c r="C1009" s="3">
        <v>3</v>
      </c>
      <c r="D1009" s="3">
        <v>257</v>
      </c>
      <c r="E1009" s="3">
        <v>14</v>
      </c>
      <c r="F1009" s="3">
        <v>0.47</v>
      </c>
    </row>
    <row r="1010" spans="2:6">
      <c r="B1010" s="3">
        <v>2</v>
      </c>
      <c r="C1010" s="3">
        <v>3</v>
      </c>
      <c r="D1010" s="3">
        <v>1732</v>
      </c>
      <c r="E1010" s="3">
        <v>15</v>
      </c>
      <c r="F1010" s="3">
        <v>0</v>
      </c>
    </row>
    <row r="1011" spans="2:6">
      <c r="B1011" s="3">
        <v>2</v>
      </c>
      <c r="C1011" s="3">
        <v>3</v>
      </c>
      <c r="D1011" s="3">
        <v>1154</v>
      </c>
      <c r="E1011" s="3">
        <v>14</v>
      </c>
      <c r="F1011" s="3">
        <v>2.1800000000000002</v>
      </c>
    </row>
    <row r="1012" spans="2:6">
      <c r="B1012" s="3">
        <v>2</v>
      </c>
      <c r="C1012" s="3">
        <v>3</v>
      </c>
      <c r="D1012" s="3">
        <v>1349</v>
      </c>
      <c r="E1012" s="3">
        <v>17</v>
      </c>
      <c r="F1012" s="3">
        <v>0.71</v>
      </c>
    </row>
    <row r="1013" spans="2:6">
      <c r="B1013" s="3">
        <v>2</v>
      </c>
      <c r="C1013" s="3">
        <v>3</v>
      </c>
      <c r="D1013" s="3">
        <v>1364</v>
      </c>
      <c r="E1013" s="3">
        <v>9</v>
      </c>
      <c r="F1013" s="3">
        <v>1.94</v>
      </c>
    </row>
    <row r="1014" spans="2:6">
      <c r="B1014" s="3">
        <v>2</v>
      </c>
      <c r="C1014" s="3">
        <v>3</v>
      </c>
      <c r="D1014" s="3">
        <v>589</v>
      </c>
      <c r="E1014" s="3">
        <v>17</v>
      </c>
      <c r="F1014" s="3">
        <v>0.96</v>
      </c>
    </row>
    <row r="1015" spans="2:6">
      <c r="B1015" s="3">
        <v>2</v>
      </c>
      <c r="C1015" s="3">
        <v>3</v>
      </c>
      <c r="D1015" s="3">
        <v>1236</v>
      </c>
      <c r="E1015" s="3">
        <v>9</v>
      </c>
      <c r="F1015" s="3">
        <v>2.5</v>
      </c>
    </row>
    <row r="1016" spans="2:6">
      <c r="B1016" s="3">
        <v>2</v>
      </c>
      <c r="C1016" s="3">
        <v>3</v>
      </c>
      <c r="D1016" s="3">
        <v>1366</v>
      </c>
      <c r="E1016" s="3">
        <v>5</v>
      </c>
      <c r="F1016" s="3">
        <v>0.87</v>
      </c>
    </row>
    <row r="1017" spans="2:6">
      <c r="B1017" s="3">
        <v>2</v>
      </c>
      <c r="C1017" s="3">
        <v>3</v>
      </c>
      <c r="D1017" s="3">
        <v>1016</v>
      </c>
      <c r="E1017" s="3">
        <v>9</v>
      </c>
      <c r="F1017" s="3">
        <v>0.62</v>
      </c>
    </row>
    <row r="1018" spans="2:6">
      <c r="B1018" s="3">
        <v>2</v>
      </c>
      <c r="C1018" s="3">
        <v>3</v>
      </c>
      <c r="D1018" s="3">
        <v>610</v>
      </c>
      <c r="E1018" s="3">
        <v>13</v>
      </c>
      <c r="F1018" s="3">
        <v>1.17</v>
      </c>
    </row>
    <row r="1019" spans="2:6">
      <c r="B1019" s="3">
        <v>2</v>
      </c>
      <c r="C1019" s="3">
        <v>3</v>
      </c>
      <c r="D1019" s="3">
        <v>1266</v>
      </c>
      <c r="E1019" s="3">
        <v>5</v>
      </c>
      <c r="F1019" s="3">
        <v>2.09</v>
      </c>
    </row>
    <row r="1020" spans="2:6">
      <c r="B1020" s="3">
        <v>2</v>
      </c>
      <c r="C1020" s="3">
        <v>3</v>
      </c>
      <c r="D1020" s="3">
        <v>1582</v>
      </c>
      <c r="E1020" s="3">
        <v>10</v>
      </c>
      <c r="F1020" s="3">
        <v>1.52</v>
      </c>
    </row>
    <row r="1021" spans="2:6">
      <c r="B1021" s="3">
        <v>2</v>
      </c>
      <c r="C1021" s="3">
        <v>3</v>
      </c>
      <c r="D1021" s="3">
        <v>1290</v>
      </c>
      <c r="E1021" s="3">
        <v>15</v>
      </c>
      <c r="F1021" s="3">
        <v>1.95</v>
      </c>
    </row>
    <row r="1022" spans="2:6">
      <c r="B1022" s="3">
        <v>2</v>
      </c>
      <c r="C1022" s="3">
        <v>3</v>
      </c>
      <c r="D1022" s="3">
        <v>961</v>
      </c>
      <c r="E1022" s="3">
        <v>14</v>
      </c>
      <c r="F1022" s="3">
        <v>0.87</v>
      </c>
    </row>
    <row r="1023" spans="2:6">
      <c r="B1023" s="3">
        <v>2</v>
      </c>
      <c r="C1023" s="3">
        <v>3</v>
      </c>
      <c r="D1023" s="3">
        <v>1852</v>
      </c>
      <c r="E1023" s="3">
        <v>14</v>
      </c>
      <c r="F1023" s="3">
        <v>0.28999999999999998</v>
      </c>
    </row>
    <row r="1024" spans="2:6">
      <c r="B1024" s="3">
        <v>2</v>
      </c>
      <c r="C1024" s="3">
        <v>3</v>
      </c>
      <c r="D1024" s="3">
        <v>1116</v>
      </c>
      <c r="E1024" s="3">
        <v>12</v>
      </c>
      <c r="F1024" s="3">
        <v>1.0900000000000001</v>
      </c>
    </row>
    <row r="1025" spans="2:6">
      <c r="B1025" s="3">
        <v>2</v>
      </c>
      <c r="C1025" s="3">
        <v>3</v>
      </c>
      <c r="D1025" s="3">
        <v>1562</v>
      </c>
      <c r="E1025" s="3">
        <v>18</v>
      </c>
      <c r="F1025" s="3">
        <v>1.05</v>
      </c>
    </row>
    <row r="1026" spans="2:6">
      <c r="B1026" s="3">
        <v>2</v>
      </c>
      <c r="C1026" s="3">
        <v>3</v>
      </c>
      <c r="D1026" s="3">
        <v>1579</v>
      </c>
      <c r="E1026" s="3">
        <v>4</v>
      </c>
      <c r="F1026" s="3">
        <v>1.29</v>
      </c>
    </row>
    <row r="1027" spans="2:6">
      <c r="B1027" s="3">
        <v>2</v>
      </c>
      <c r="C1027" s="3">
        <v>3</v>
      </c>
      <c r="D1027" s="3">
        <v>2272</v>
      </c>
      <c r="E1027" s="3">
        <v>8</v>
      </c>
      <c r="F1027" s="3">
        <v>0.87</v>
      </c>
    </row>
    <row r="1028" spans="2:6">
      <c r="B1028" s="3">
        <v>2</v>
      </c>
      <c r="C1028" s="3">
        <v>3</v>
      </c>
      <c r="D1028" s="3">
        <v>1091</v>
      </c>
      <c r="E1028" s="3">
        <v>12</v>
      </c>
      <c r="F1028" s="3">
        <v>0.49</v>
      </c>
    </row>
    <row r="1029" spans="2:6">
      <c r="B1029" s="3">
        <v>2</v>
      </c>
      <c r="C1029" s="3">
        <v>3</v>
      </c>
      <c r="D1029" s="3">
        <v>350</v>
      </c>
      <c r="E1029" s="3">
        <v>8</v>
      </c>
      <c r="F1029" s="3">
        <v>1.66</v>
      </c>
    </row>
    <row r="1030" spans="2:6">
      <c r="B1030" s="3">
        <v>2</v>
      </c>
      <c r="C1030" s="3">
        <v>3</v>
      </c>
      <c r="D1030" s="3">
        <v>1351</v>
      </c>
      <c r="E1030" s="3">
        <v>17</v>
      </c>
      <c r="F1030" s="3">
        <v>0.86</v>
      </c>
    </row>
    <row r="1031" spans="2:6">
      <c r="B1031" s="3">
        <v>2</v>
      </c>
      <c r="C1031" s="3">
        <v>3</v>
      </c>
      <c r="D1031" s="3">
        <v>969</v>
      </c>
      <c r="E1031" s="3">
        <v>15</v>
      </c>
      <c r="F1031" s="3">
        <v>1.32</v>
      </c>
    </row>
    <row r="1032" spans="2:6">
      <c r="B1032" s="3">
        <v>2</v>
      </c>
      <c r="C1032" s="3">
        <v>3</v>
      </c>
      <c r="D1032" s="3">
        <v>1291</v>
      </c>
      <c r="E1032" s="3">
        <v>6</v>
      </c>
      <c r="F1032" s="3">
        <v>0.14000000000000001</v>
      </c>
    </row>
    <row r="1033" spans="2:6">
      <c r="B1033" s="3">
        <v>2</v>
      </c>
      <c r="C1033" s="3">
        <v>3</v>
      </c>
      <c r="D1033" s="3">
        <v>1477</v>
      </c>
      <c r="E1033" s="3">
        <v>12</v>
      </c>
      <c r="F1033" s="3">
        <v>0.42</v>
      </c>
    </row>
    <row r="1034" spans="2:6">
      <c r="B1034" s="3">
        <v>2</v>
      </c>
      <c r="C1034" s="3">
        <v>3</v>
      </c>
      <c r="D1034" s="3">
        <v>733</v>
      </c>
      <c r="E1034" s="3">
        <v>17</v>
      </c>
      <c r="F1034" s="3">
        <v>1.76</v>
      </c>
    </row>
    <row r="1035" spans="2:6">
      <c r="B1035" s="3">
        <v>2</v>
      </c>
      <c r="C1035" s="3">
        <v>3</v>
      </c>
      <c r="D1035" s="3">
        <v>584</v>
      </c>
      <c r="E1035" s="3">
        <v>22</v>
      </c>
      <c r="F1035" s="3">
        <v>0.63</v>
      </c>
    </row>
    <row r="1036" spans="2:6">
      <c r="B1036" s="3">
        <v>2</v>
      </c>
      <c r="C1036" s="3">
        <v>3</v>
      </c>
      <c r="D1036" s="3">
        <v>709</v>
      </c>
      <c r="E1036" s="3">
        <v>14</v>
      </c>
      <c r="F1036" s="3">
        <v>1.54</v>
      </c>
    </row>
    <row r="1037" spans="2:6">
      <c r="B1037" s="3">
        <v>2</v>
      </c>
      <c r="C1037" s="3">
        <v>3</v>
      </c>
      <c r="D1037" s="3">
        <v>894</v>
      </c>
      <c r="E1037" s="3">
        <v>6</v>
      </c>
      <c r="F1037" s="3">
        <v>1.72</v>
      </c>
    </row>
    <row r="1038" spans="2:6">
      <c r="B1038" s="3">
        <v>2</v>
      </c>
      <c r="C1038" s="3">
        <v>3</v>
      </c>
      <c r="D1038" s="3">
        <v>1082</v>
      </c>
      <c r="E1038" s="3">
        <v>10</v>
      </c>
      <c r="F1038" s="3">
        <v>1.36</v>
      </c>
    </row>
    <row r="1039" spans="2:6">
      <c r="B1039" s="3">
        <v>2</v>
      </c>
      <c r="C1039" s="3">
        <v>3</v>
      </c>
      <c r="D1039" s="3">
        <v>1414</v>
      </c>
      <c r="E1039" s="3">
        <v>14</v>
      </c>
      <c r="F1039" s="3">
        <v>0.69</v>
      </c>
    </row>
    <row r="1040" spans="2:6">
      <c r="B1040" s="3">
        <v>2</v>
      </c>
      <c r="C1040" s="3">
        <v>3</v>
      </c>
      <c r="D1040" s="3">
        <v>1524</v>
      </c>
      <c r="E1040" s="3">
        <v>19</v>
      </c>
      <c r="F1040" s="3">
        <v>1.95</v>
      </c>
    </row>
    <row r="1041" spans="2:6">
      <c r="B1041" s="3">
        <v>2</v>
      </c>
      <c r="C1041" s="3">
        <v>3</v>
      </c>
      <c r="D1041" s="3">
        <v>960</v>
      </c>
      <c r="E1041" s="3">
        <v>14</v>
      </c>
      <c r="F1041" s="3">
        <v>0.87</v>
      </c>
    </row>
    <row r="1042" spans="2:6">
      <c r="B1042" s="3">
        <v>2</v>
      </c>
      <c r="C1042" s="3">
        <v>3</v>
      </c>
      <c r="D1042" s="3">
        <v>789</v>
      </c>
      <c r="E1042" s="3">
        <v>4</v>
      </c>
      <c r="F1042" s="3">
        <v>2.08</v>
      </c>
    </row>
    <row r="1043" spans="2:6">
      <c r="B1043" s="3">
        <v>2</v>
      </c>
      <c r="C1043" s="3">
        <v>3</v>
      </c>
      <c r="D1043" s="3">
        <v>1012</v>
      </c>
      <c r="E1043" s="3">
        <v>9</v>
      </c>
      <c r="F1043" s="3">
        <v>1.5</v>
      </c>
    </row>
    <row r="1044" spans="2:6">
      <c r="B1044" s="3">
        <v>2</v>
      </c>
      <c r="C1044" s="3">
        <v>3</v>
      </c>
      <c r="D1044" s="3">
        <v>1521</v>
      </c>
      <c r="E1044" s="3">
        <v>14</v>
      </c>
      <c r="F1044" s="3">
        <v>1.23</v>
      </c>
    </row>
    <row r="1045" spans="2:6">
      <c r="B1045" s="3">
        <v>2</v>
      </c>
      <c r="C1045" s="3">
        <v>3</v>
      </c>
      <c r="D1045" s="3">
        <v>1401</v>
      </c>
      <c r="E1045" s="3">
        <v>21</v>
      </c>
      <c r="F1045" s="3">
        <v>0.83</v>
      </c>
    </row>
    <row r="1046" spans="2:6">
      <c r="B1046" s="3">
        <v>2</v>
      </c>
      <c r="C1046" s="3">
        <v>3</v>
      </c>
      <c r="D1046" s="3">
        <v>1638</v>
      </c>
      <c r="E1046" s="3">
        <v>10</v>
      </c>
      <c r="F1046" s="3">
        <v>1.8</v>
      </c>
    </row>
    <row r="1047" spans="2:6">
      <c r="B1047" s="3">
        <v>2</v>
      </c>
      <c r="C1047" s="3">
        <v>3</v>
      </c>
      <c r="D1047" s="3">
        <v>824</v>
      </c>
      <c r="E1047" s="3">
        <v>15</v>
      </c>
      <c r="F1047" s="3">
        <v>0.73</v>
      </c>
    </row>
    <row r="1048" spans="2:6">
      <c r="B1048" s="3">
        <v>2</v>
      </c>
      <c r="C1048" s="3">
        <v>3</v>
      </c>
      <c r="D1048" s="3">
        <v>1644</v>
      </c>
      <c r="E1048" s="3">
        <v>18</v>
      </c>
      <c r="F1048" s="3">
        <v>7.0000000000000007E-2</v>
      </c>
    </row>
    <row r="1049" spans="2:6">
      <c r="B1049" s="3">
        <v>2</v>
      </c>
      <c r="C1049" s="3">
        <v>3</v>
      </c>
      <c r="D1049" s="3">
        <v>1354</v>
      </c>
      <c r="E1049" s="3">
        <v>13</v>
      </c>
      <c r="F1049" s="3">
        <v>2.46</v>
      </c>
    </row>
    <row r="1050" spans="2:6">
      <c r="B1050" s="3">
        <v>2</v>
      </c>
      <c r="C1050" s="3">
        <v>3</v>
      </c>
      <c r="D1050" s="3">
        <v>822</v>
      </c>
      <c r="E1050" s="3">
        <v>9</v>
      </c>
      <c r="F1050" s="3">
        <v>2.5299999999999998</v>
      </c>
    </row>
    <row r="1051" spans="2:6">
      <c r="B1051" s="3">
        <v>2</v>
      </c>
      <c r="C1051" s="3">
        <v>3</v>
      </c>
      <c r="D1051" s="3">
        <v>1093</v>
      </c>
      <c r="E1051" s="3">
        <v>7</v>
      </c>
      <c r="F1051" s="3">
        <v>1.33</v>
      </c>
    </row>
    <row r="1052" spans="2:6">
      <c r="B1052" s="3">
        <v>2</v>
      </c>
      <c r="C1052" s="3">
        <v>3</v>
      </c>
      <c r="D1052" s="3">
        <v>1310</v>
      </c>
      <c r="E1052" s="3">
        <v>12</v>
      </c>
      <c r="F1052" s="3">
        <v>0.62</v>
      </c>
    </row>
    <row r="1053" spans="2:6">
      <c r="B1053" s="3">
        <v>2</v>
      </c>
      <c r="C1053" s="3">
        <v>3</v>
      </c>
      <c r="D1053" s="3">
        <v>1193</v>
      </c>
      <c r="E1053" s="3">
        <v>8</v>
      </c>
      <c r="F1053" s="3">
        <v>2.42</v>
      </c>
    </row>
    <row r="1054" spans="2:6">
      <c r="B1054" s="3">
        <v>2</v>
      </c>
      <c r="C1054" s="3">
        <v>3</v>
      </c>
      <c r="D1054" s="3">
        <v>1606</v>
      </c>
      <c r="E1054" s="3">
        <v>6</v>
      </c>
      <c r="F1054" s="3">
        <v>0.86</v>
      </c>
    </row>
    <row r="1055" spans="2:6">
      <c r="B1055" s="3">
        <v>2</v>
      </c>
      <c r="C1055" s="3">
        <v>3</v>
      </c>
      <c r="D1055" s="3">
        <v>1710</v>
      </c>
      <c r="E1055" s="3">
        <v>15</v>
      </c>
      <c r="F1055" s="3">
        <v>1.37</v>
      </c>
    </row>
  </sheetData>
  <mergeCells count="2">
    <mergeCell ref="J2:K2"/>
    <mergeCell ref="H2:I2"/>
  </mergeCells>
  <phoneticPr fontId="1" type="noConversion"/>
  <pageMargins left="0.75" right="0.75" top="1" bottom="1" header="0.3" footer="0.3"/>
  <pageSetup paperSize="9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확률변수_기대값</vt:lpstr>
      <vt:lpstr>적합성검정</vt:lpstr>
      <vt:lpstr>은행문제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wolfpack</dc:creator>
  <cp:lastModifiedBy>김 민수</cp:lastModifiedBy>
  <dcterms:created xsi:type="dcterms:W3CDTF">2016-05-08T01:55:24Z</dcterms:created>
  <dcterms:modified xsi:type="dcterms:W3CDTF">2022-05-04T08:07:11Z</dcterms:modified>
</cp:coreProperties>
</file>